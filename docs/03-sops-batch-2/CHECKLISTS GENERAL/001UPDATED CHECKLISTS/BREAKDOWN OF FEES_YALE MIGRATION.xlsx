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eywardjakegamol/Desktop/YALE STANDARD OPERATING PROCEDURES/SOP'S/CHECKLISTS GENERAL/001UPDATED CHECKLISTS/"/>
    </mc:Choice>
  </mc:AlternateContent>
  <xr:revisionPtr revIDLastSave="0" documentId="13_ncr:1_{40E5EEC8-A100-994A-8CDE-D064442A70AF}" xr6:coauthVersionLast="47" xr6:coauthVersionMax="47" xr10:uidLastSave="{00000000-0000-0000-0000-000000000000}"/>
  <bookViews>
    <workbookView xWindow="-120" yWindow="660" windowWidth="29040" windowHeight="15720" xr2:uid="{BD88F037-5347-4E8C-A5AE-CA1E2F4F4289}"/>
  </bookViews>
  <sheets>
    <sheet name="485 visa" sheetId="2" r:id="rId1"/>
    <sheet name="ART" sheetId="10" r:id="rId2"/>
    <sheet name="AFP" sheetId="4" r:id="rId3"/>
    <sheet name="JRP" sheetId="5" r:id="rId4"/>
    <sheet name="500 visa" sheetId="3" r:id="rId5"/>
    <sheet name="TOURIST VISA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9" i="10" l="1"/>
  <c r="C34" i="10"/>
  <c r="C40" i="10" s="1"/>
  <c r="C10" i="10" l="1"/>
  <c r="C5" i="10"/>
  <c r="C11" i="10" s="1"/>
  <c r="C13" i="6"/>
  <c r="C17" i="2"/>
  <c r="C33" i="6" l="1"/>
  <c r="C34" i="6" s="1"/>
  <c r="C38" i="6"/>
  <c r="C7" i="6"/>
  <c r="C8" i="6" s="1"/>
  <c r="C38" i="3"/>
  <c r="C6" i="5"/>
  <c r="C8" i="5" s="1"/>
  <c r="C8" i="4"/>
  <c r="C6" i="4"/>
  <c r="C16" i="3"/>
  <c r="C8" i="3"/>
  <c r="C9" i="3" s="1"/>
  <c r="C8" i="2"/>
  <c r="C9" i="2" s="1"/>
  <c r="C18" i="3" l="1"/>
  <c r="C40" i="6"/>
  <c r="C15" i="6"/>
  <c r="C18" i="2"/>
</calcChain>
</file>

<file path=xl/sharedStrings.xml><?xml version="1.0" encoding="utf-8"?>
<sst xmlns="http://schemas.openxmlformats.org/spreadsheetml/2006/main" count="302" uniqueCount="97">
  <si>
    <t>Total Amount Due</t>
  </si>
  <si>
    <t>Category</t>
  </si>
  <si>
    <t>Description</t>
  </si>
  <si>
    <t>Amount (AUD)</t>
  </si>
  <si>
    <t>Visa Fees</t>
  </si>
  <si>
    <t>Main Applicant</t>
  </si>
  <si>
    <t>Dependent</t>
  </si>
  <si>
    <t>Child Dependent</t>
  </si>
  <si>
    <t>Surcharge (1.4%)</t>
  </si>
  <si>
    <t>Subtotal – Visa Fees</t>
  </si>
  <si>
    <t>PF and SA Fees</t>
  </si>
  <si>
    <t>Professional Fee</t>
  </si>
  <si>
    <t>Subtotal – PF and SA Fees</t>
  </si>
  <si>
    <t>Payment Details</t>
  </si>
  <si>
    <t>Note: Please send us a copy of your payment!</t>
  </si>
  <si>
    <t>Details</t>
  </si>
  <si>
    <t>Information</t>
  </si>
  <si>
    <t>Cash, Cheque, or Direct Deposit</t>
  </si>
  <si>
    <t>Yale Migration and Education Consultants</t>
  </si>
  <si>
    <t>ANZ</t>
  </si>
  <si>
    <t>ANZBAU3M</t>
  </si>
  <si>
    <t>Shop 75, SunnyBank Hills Shopping Town, Cnr Calam &amp; Compton Rds, Sunnybank Hills, QLD 4109, Australia</t>
  </si>
  <si>
    <t>Payment Method:</t>
  </si>
  <si>
    <t>Recipient Name:</t>
  </si>
  <si>
    <t>BSB:</t>
  </si>
  <si>
    <t>Account Number:</t>
  </si>
  <si>
    <t>Bank:</t>
  </si>
  <si>
    <t>SWIFT Code:</t>
  </si>
  <si>
    <t>Branch Location:</t>
  </si>
  <si>
    <t xml:space="preserve">Reference: </t>
  </si>
  <si>
    <t>Use your name as a reference</t>
  </si>
  <si>
    <t>Item</t>
  </si>
  <si>
    <t>Main Applicant Living Expenses</t>
  </si>
  <si>
    <t>Dependent Living Expenses</t>
  </si>
  <si>
    <t>Travel Expenses</t>
  </si>
  <si>
    <t>Total Show Money Required</t>
  </si>
  <si>
    <t>SHOW MONEY</t>
  </si>
  <si>
    <t>AUSTRALIA FEDERAL POLICE</t>
  </si>
  <si>
    <t>JOB READY PROGRAM</t>
  </si>
  <si>
    <t>SA FEE</t>
  </si>
  <si>
    <t>PF</t>
  </si>
  <si>
    <t>STEP 1 PSA</t>
  </si>
  <si>
    <t>STEP 2 JRE</t>
  </si>
  <si>
    <t>STEP 3 JRWA</t>
  </si>
  <si>
    <t>STEP 4 JRFA</t>
  </si>
  <si>
    <t>NOTE</t>
  </si>
  <si>
    <t>PF and SA Fees/other FEES</t>
  </si>
  <si>
    <t>BSB-014286</t>
  </si>
  <si>
    <t>BSB- 014286</t>
  </si>
  <si>
    <t>Tourist VISA Breakdown of Fees</t>
  </si>
  <si>
    <t>ACECQA</t>
  </si>
  <si>
    <t>Medical-will determine after the visa is lodged</t>
  </si>
  <si>
    <r>
      <t>Tuition Fee (1 year Tuition fee</t>
    </r>
    <r>
      <rPr>
        <b/>
        <sz val="10"/>
        <color rgb="FF000000"/>
        <rFont val="Aptos Narrow"/>
        <family val="2"/>
      </rPr>
      <t>)</t>
    </r>
    <r>
      <rPr>
        <b/>
        <sz val="11"/>
        <color rgb="FF000000"/>
        <rFont val="Aptos Narrow"/>
        <family val="2"/>
      </rPr>
      <t>-estimate will be prov.</t>
    </r>
  </si>
  <si>
    <t>Engagement fee</t>
  </si>
  <si>
    <t>BRIDGING VISA B FEE</t>
  </si>
  <si>
    <t>BVB FEE</t>
  </si>
  <si>
    <t>AFP (2 Applicant/s @ $56)</t>
  </si>
  <si>
    <t>Advance payment</t>
  </si>
  <si>
    <t>subsequent application</t>
  </si>
  <si>
    <t>Subsequent TV application</t>
  </si>
  <si>
    <t>BOTH 500</t>
  </si>
  <si>
    <t>PARENT</t>
  </si>
  <si>
    <t xml:space="preserve">485 VISA </t>
  </si>
  <si>
    <t>DIVIDE</t>
  </si>
  <si>
    <t>LIVING EXPENSES</t>
  </si>
  <si>
    <t>TUITION FEE</t>
  </si>
  <si>
    <t>TOTAL</t>
  </si>
  <si>
    <t>AFP ( Applicant @ $56 each)</t>
  </si>
  <si>
    <t>Student Visa</t>
  </si>
  <si>
    <t>ART</t>
  </si>
  <si>
    <t>ART FEE</t>
  </si>
  <si>
    <t>HEARING FEE</t>
  </si>
  <si>
    <t>VETASSESS</t>
  </si>
  <si>
    <t>MAIN APPLICANT:</t>
  </si>
  <si>
    <t>DEPENDENT:</t>
  </si>
  <si>
    <t>485 JRP</t>
  </si>
  <si>
    <t>485 ACECQA</t>
  </si>
  <si>
    <t>485 VETASSESS</t>
  </si>
  <si>
    <t>CHILD</t>
  </si>
  <si>
    <t>STUDENT</t>
  </si>
  <si>
    <t>ONSHORE</t>
  </si>
  <si>
    <t>OFFSHORE</t>
  </si>
  <si>
    <t>JRP PSA</t>
  </si>
  <si>
    <t>PROFESSIONAL FEE</t>
  </si>
  <si>
    <t>SKILLS ASSESSMENT FEE</t>
  </si>
  <si>
    <t>Hearing fee</t>
  </si>
  <si>
    <t>YALE MIGRATION AND EDUCATION CONSULTANTS</t>
  </si>
  <si>
    <t>EF</t>
  </si>
  <si>
    <t>2000 EACH</t>
  </si>
  <si>
    <t>Dependent CHILD</t>
  </si>
  <si>
    <t>BRIDGING VISA PF FEE</t>
  </si>
  <si>
    <t>TOURIST PROFESSIONAL FEE</t>
  </si>
  <si>
    <t>x</t>
  </si>
  <si>
    <t>BVB</t>
  </si>
  <si>
    <t>Insurance-</t>
  </si>
  <si>
    <t>JRP STEP 2 -JRE</t>
  </si>
  <si>
    <t>FLY NOW PAY LATER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</si>
</sst>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$&quot;#,##0;\-&quot;$&quot;#,##0"/>
    <numFmt numFmtId="165" formatCode="&quot;$&quot;#,##0;[Red]\-&quot;$&quot;#,##0"/>
    <numFmt numFmtId="166" formatCode="&quot;$&quot;#,##0.00;\-&quot;$&quot;#,##0.00"/>
    <numFmt numFmtId="167" formatCode="&quot;$&quot;#,##0.00;[Red]\-&quot;$&quot;#,##0.00"/>
    <numFmt numFmtId="168" formatCode="_-&quot;$&quot;* #,##0.00_-;\-&quot;$&quot;* #,##0.00_-;_-&quot;$&quot;* &quot;-&quot;??_-;_-@_-"/>
    <numFmt numFmtId="169" formatCode="[$-409]h:mm:ss\ AM/PM"/>
    <numFmt numFmtId="170" formatCode="[$-F400]h:mm:ss\ AM/PM"/>
  </numFmts>
  <fonts count="21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0"/>
      <color rgb="FF000000"/>
      <name val="Calibri"/>
      <family val="2"/>
    </font>
    <font>
      <sz val="10"/>
      <color theme="1"/>
      <name val="Calibri"/>
      <family val="2"/>
    </font>
    <font>
      <sz val="10"/>
      <color rgb="FF000000"/>
      <name val="Calibri"/>
      <family val="2"/>
    </font>
    <font>
      <b/>
      <sz val="10"/>
      <color theme="1"/>
      <name val="Calibri"/>
      <family val="2"/>
    </font>
    <font>
      <b/>
      <i/>
      <sz val="10"/>
      <color rgb="FFFF0000"/>
      <name val="Calibri"/>
      <family val="2"/>
    </font>
    <font>
      <i/>
      <sz val="10"/>
      <color theme="1"/>
      <name val="Calibri"/>
      <family val="2"/>
    </font>
    <font>
      <sz val="11"/>
      <color rgb="FF000000"/>
      <name val="Aptos Narrow"/>
      <family val="2"/>
      <scheme val="minor"/>
    </font>
    <font>
      <b/>
      <sz val="10"/>
      <color rgb="FFFF0000"/>
      <name val="Calibri"/>
      <family val="2"/>
    </font>
    <font>
      <sz val="10"/>
      <color rgb="FFFF0000"/>
      <name val="Calibri"/>
      <family val="2"/>
    </font>
    <font>
      <sz val="8"/>
      <name val="Aptos Narrow"/>
      <family val="2"/>
      <scheme val="minor"/>
    </font>
    <font>
      <b/>
      <sz val="9"/>
      <color rgb="FF000000"/>
      <name val="Calibri"/>
      <family val="2"/>
    </font>
    <font>
      <sz val="8"/>
      <color rgb="FF000000"/>
      <name val="Aptos Narrow"/>
      <family val="2"/>
      <scheme val="minor"/>
    </font>
    <font>
      <b/>
      <sz val="10"/>
      <name val="Calibri"/>
      <family val="2"/>
    </font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8"/>
      <color theme="1"/>
      <name val="Calibri"/>
      <family val="2"/>
    </font>
    <font>
      <sz val="8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6600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8" fontId="17" fillId="0" borderId="0" applyFont="0" applyFill="0" applyBorder="0" applyAlignment="0" applyProtection="0"/>
  </cellStyleXfs>
  <cellXfs count="117">
    <xf numFmtId="0" fontId="0" fillId="0" borderId="0" xfId="0"/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10" fontId="5" fillId="3" borderId="0" xfId="0" applyNumberFormat="1" applyFont="1" applyFill="1"/>
    <xf numFmtId="0" fontId="5" fillId="0" borderId="0" xfId="0" applyFont="1"/>
    <xf numFmtId="0" fontId="4" fillId="2" borderId="5" xfId="0" applyFont="1" applyFill="1" applyBorder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6" fillId="2" borderId="6" xfId="0" applyFont="1" applyFill="1" applyBorder="1" applyAlignment="1">
      <alignment vertical="center" wrapText="1"/>
    </xf>
    <xf numFmtId="0" fontId="6" fillId="2" borderId="5" xfId="0" applyFont="1" applyFill="1" applyBorder="1" applyAlignment="1">
      <alignment vertical="center" wrapText="1"/>
    </xf>
    <xf numFmtId="167" fontId="6" fillId="2" borderId="6" xfId="0" applyNumberFormat="1" applyFont="1" applyFill="1" applyBorder="1" applyAlignment="1">
      <alignment horizontal="right" vertical="center" wrapText="1"/>
    </xf>
    <xf numFmtId="0" fontId="6" fillId="2" borderId="1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167" fontId="6" fillId="2" borderId="7" xfId="0" applyNumberFormat="1" applyFont="1" applyFill="1" applyBorder="1" applyAlignment="1">
      <alignment horizontal="right" vertical="center" wrapText="1"/>
    </xf>
    <xf numFmtId="167" fontId="4" fillId="2" borderId="6" xfId="0" applyNumberFormat="1" applyFont="1" applyFill="1" applyBorder="1" applyAlignment="1">
      <alignment horizontal="right" vertical="center" wrapText="1"/>
    </xf>
    <xf numFmtId="0" fontId="6" fillId="2" borderId="12" xfId="0" applyFont="1" applyFill="1" applyBorder="1" applyAlignment="1">
      <alignment vertical="center" wrapText="1"/>
    </xf>
    <xf numFmtId="0" fontId="6" fillId="2" borderId="13" xfId="0" applyFont="1" applyFill="1" applyBorder="1" applyAlignment="1">
      <alignment vertical="center" wrapText="1"/>
    </xf>
    <xf numFmtId="0" fontId="6" fillId="2" borderId="14" xfId="0" applyFont="1" applyFill="1" applyBorder="1" applyAlignment="1">
      <alignment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5" xfId="0" applyFont="1" applyBorder="1" applyAlignment="1">
      <alignment vertical="center" wrapText="1"/>
    </xf>
    <xf numFmtId="0" fontId="5" fillId="0" borderId="6" xfId="0" applyFont="1" applyBorder="1" applyAlignment="1">
      <alignment horizontal="left"/>
    </xf>
    <xf numFmtId="0" fontId="9" fillId="0" borderId="0" xfId="0" applyFont="1" applyAlignment="1">
      <alignment horizontal="left" vertical="center" wrapText="1"/>
    </xf>
    <xf numFmtId="0" fontId="1" fillId="2" borderId="17" xfId="0" applyFont="1" applyFill="1" applyBorder="1" applyAlignment="1">
      <alignment horizontal="left" vertical="center" wrapText="1"/>
    </xf>
    <xf numFmtId="165" fontId="2" fillId="2" borderId="17" xfId="0" applyNumberFormat="1" applyFont="1" applyFill="1" applyBorder="1" applyAlignment="1">
      <alignment horizontal="left" vertical="center" wrapText="1"/>
    </xf>
    <xf numFmtId="165" fontId="1" fillId="2" borderId="21" xfId="0" applyNumberFormat="1" applyFont="1" applyFill="1" applyBorder="1" applyAlignment="1">
      <alignment horizontal="left" vertical="center" wrapText="1"/>
    </xf>
    <xf numFmtId="165" fontId="2" fillId="2" borderId="22" xfId="0" applyNumberFormat="1" applyFont="1" applyFill="1" applyBorder="1" applyAlignment="1">
      <alignment horizontal="left" vertical="center" wrapText="1"/>
    </xf>
    <xf numFmtId="0" fontId="11" fillId="2" borderId="5" xfId="0" applyFont="1" applyFill="1" applyBorder="1" applyAlignment="1">
      <alignment vertical="center" wrapText="1"/>
    </xf>
    <xf numFmtId="0" fontId="12" fillId="2" borderId="0" xfId="0" applyFont="1" applyFill="1" applyAlignment="1">
      <alignment vertical="center" wrapText="1"/>
    </xf>
    <xf numFmtId="167" fontId="11" fillId="2" borderId="6" xfId="0" applyNumberFormat="1" applyFont="1" applyFill="1" applyBorder="1" applyAlignment="1">
      <alignment horizontal="right" vertical="center" wrapText="1"/>
    </xf>
    <xf numFmtId="0" fontId="5" fillId="0" borderId="0" xfId="0" applyFont="1" applyAlignment="1">
      <alignment horizontal="left"/>
    </xf>
    <xf numFmtId="0" fontId="12" fillId="0" borderId="17" xfId="0" applyFont="1" applyBorder="1"/>
    <xf numFmtId="0" fontId="12" fillId="0" borderId="17" xfId="0" applyFont="1" applyBorder="1" applyAlignment="1">
      <alignment horizontal="left"/>
    </xf>
    <xf numFmtId="0" fontId="14" fillId="2" borderId="5" xfId="0" applyFont="1" applyFill="1" applyBorder="1" applyAlignment="1">
      <alignment vertical="center" wrapText="1"/>
    </xf>
    <xf numFmtId="0" fontId="7" fillId="0" borderId="26" xfId="0" applyFont="1" applyBorder="1" applyAlignment="1">
      <alignment vertical="center" wrapText="1"/>
    </xf>
    <xf numFmtId="0" fontId="5" fillId="0" borderId="27" xfId="0" applyFont="1" applyBorder="1" applyAlignment="1">
      <alignment horizontal="left"/>
    </xf>
    <xf numFmtId="0" fontId="4" fillId="2" borderId="33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vertical="center" wrapText="1"/>
    </xf>
    <xf numFmtId="0" fontId="6" fillId="2" borderId="27" xfId="0" applyFont="1" applyFill="1" applyBorder="1" applyAlignment="1">
      <alignment vertical="center" wrapText="1"/>
    </xf>
    <xf numFmtId="0" fontId="6" fillId="2" borderId="26" xfId="0" applyFont="1" applyFill="1" applyBorder="1" applyAlignment="1">
      <alignment vertical="center" wrapText="1"/>
    </xf>
    <xf numFmtId="167" fontId="6" fillId="2" borderId="27" xfId="0" applyNumberFormat="1" applyFont="1" applyFill="1" applyBorder="1" applyAlignment="1">
      <alignment horizontal="right" vertical="center" wrapText="1"/>
    </xf>
    <xf numFmtId="0" fontId="6" fillId="2" borderId="28" xfId="0" applyFont="1" applyFill="1" applyBorder="1" applyAlignment="1">
      <alignment vertical="center" wrapText="1"/>
    </xf>
    <xf numFmtId="167" fontId="6" fillId="2" borderId="29" xfId="0" applyNumberFormat="1" applyFont="1" applyFill="1" applyBorder="1" applyAlignment="1">
      <alignment horizontal="right" vertical="center" wrapText="1"/>
    </xf>
    <xf numFmtId="167" fontId="4" fillId="2" borderId="27" xfId="0" applyNumberFormat="1" applyFont="1" applyFill="1" applyBorder="1" applyAlignment="1">
      <alignment horizontal="right" vertical="center" wrapText="1"/>
    </xf>
    <xf numFmtId="167" fontId="4" fillId="2" borderId="35" xfId="0" applyNumberFormat="1" applyFont="1" applyFill="1" applyBorder="1" applyAlignment="1">
      <alignment horizontal="right" vertical="center" wrapText="1"/>
    </xf>
    <xf numFmtId="0" fontId="4" fillId="2" borderId="28" xfId="0" applyFont="1" applyFill="1" applyBorder="1" applyAlignment="1">
      <alignment vertical="center" wrapText="1"/>
    </xf>
    <xf numFmtId="167" fontId="4" fillId="2" borderId="36" xfId="0" applyNumberFormat="1" applyFont="1" applyFill="1" applyBorder="1" applyAlignment="1">
      <alignment horizontal="right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7" fillId="0" borderId="26" xfId="0" applyFont="1" applyBorder="1" applyAlignment="1">
      <alignment horizontal="left" vertical="center" wrapText="1"/>
    </xf>
    <xf numFmtId="170" fontId="5" fillId="0" borderId="0" xfId="0" applyNumberFormat="1" applyFont="1"/>
    <xf numFmtId="169" fontId="5" fillId="0" borderId="0" xfId="0" applyNumberFormat="1" applyFont="1"/>
    <xf numFmtId="0" fontId="4" fillId="2" borderId="14" xfId="0" applyFont="1" applyFill="1" applyBorder="1" applyAlignment="1">
      <alignment vertical="center" wrapText="1"/>
    </xf>
    <xf numFmtId="167" fontId="11" fillId="3" borderId="6" xfId="0" applyNumberFormat="1" applyFont="1" applyFill="1" applyBorder="1" applyAlignment="1">
      <alignment horizontal="right" vertical="center" wrapText="1"/>
    </xf>
    <xf numFmtId="4" fontId="5" fillId="0" borderId="0" xfId="0" applyNumberFormat="1" applyFont="1"/>
    <xf numFmtId="0" fontId="5" fillId="0" borderId="9" xfId="0" applyFont="1" applyBorder="1"/>
    <xf numFmtId="4" fontId="5" fillId="0" borderId="9" xfId="0" applyNumberFormat="1" applyFont="1" applyBorder="1"/>
    <xf numFmtId="0" fontId="15" fillId="0" borderId="0" xfId="0" applyFont="1"/>
    <xf numFmtId="0" fontId="10" fillId="0" borderId="0" xfId="0" applyFont="1"/>
    <xf numFmtId="0" fontId="7" fillId="0" borderId="0" xfId="0" applyFont="1"/>
    <xf numFmtId="166" fontId="7" fillId="0" borderId="0" xfId="0" applyNumberFormat="1" applyFont="1"/>
    <xf numFmtId="167" fontId="11" fillId="2" borderId="36" xfId="0" applyNumberFormat="1" applyFont="1" applyFill="1" applyBorder="1" applyAlignment="1">
      <alignment horizontal="right" vertical="center" wrapText="1"/>
    </xf>
    <xf numFmtId="164" fontId="2" fillId="2" borderId="17" xfId="0" applyNumberFormat="1" applyFont="1" applyFill="1" applyBorder="1" applyAlignment="1">
      <alignment horizontal="left" vertical="center" wrapText="1"/>
    </xf>
    <xf numFmtId="0" fontId="7" fillId="0" borderId="17" xfId="0" applyFont="1" applyBorder="1"/>
    <xf numFmtId="167" fontId="7" fillId="0" borderId="17" xfId="0" applyNumberFormat="1" applyFont="1" applyBorder="1"/>
    <xf numFmtId="168" fontId="7" fillId="0" borderId="17" xfId="1" applyFont="1" applyBorder="1"/>
    <xf numFmtId="166" fontId="19" fillId="0" borderId="17" xfId="0" applyNumberFormat="1" applyFont="1" applyBorder="1"/>
    <xf numFmtId="0" fontId="19" fillId="0" borderId="17" xfId="0" applyFont="1" applyBorder="1"/>
    <xf numFmtId="166" fontId="20" fillId="0" borderId="17" xfId="0" applyNumberFormat="1" applyFont="1" applyBorder="1"/>
    <xf numFmtId="166" fontId="20" fillId="0" borderId="17" xfId="0" applyNumberFormat="1" applyFont="1" applyBorder="1" applyAlignment="1">
      <alignment horizontal="right"/>
    </xf>
    <xf numFmtId="0" fontId="5" fillId="0" borderId="0" xfId="0" applyFont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16" fillId="5" borderId="2" xfId="0" applyFont="1" applyFill="1" applyBorder="1" applyAlignment="1">
      <alignment horizontal="center"/>
    </xf>
    <xf numFmtId="0" fontId="16" fillId="5" borderId="3" xfId="0" applyFont="1" applyFill="1" applyBorder="1" applyAlignment="1">
      <alignment horizontal="center"/>
    </xf>
    <xf numFmtId="0" fontId="16" fillId="5" borderId="4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left" vertical="center" wrapText="1"/>
    </xf>
    <xf numFmtId="0" fontId="4" fillId="2" borderId="16" xfId="0" applyFont="1" applyFill="1" applyBorder="1" applyAlignment="1">
      <alignment horizontal="left" vertical="center" wrapText="1"/>
    </xf>
    <xf numFmtId="0" fontId="4" fillId="2" borderId="17" xfId="0" applyFont="1" applyFill="1" applyBorder="1" applyAlignment="1">
      <alignment horizont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" fontId="5" fillId="0" borderId="0" xfId="0" applyNumberFormat="1" applyFont="1" applyAlignment="1">
      <alignment horizontal="left" vertical="center" wrapText="1"/>
    </xf>
    <xf numFmtId="1" fontId="5" fillId="0" borderId="6" xfId="0" applyNumberFormat="1" applyFont="1" applyBorder="1" applyAlignment="1">
      <alignment horizontal="left" vertical="center" wrapText="1"/>
    </xf>
    <xf numFmtId="0" fontId="16" fillId="5" borderId="8" xfId="0" applyFont="1" applyFill="1" applyBorder="1" applyAlignment="1">
      <alignment horizontal="center" vertical="center"/>
    </xf>
    <xf numFmtId="0" fontId="16" fillId="5" borderId="9" xfId="0" applyFont="1" applyFill="1" applyBorder="1" applyAlignment="1">
      <alignment horizontal="center" vertical="center"/>
    </xf>
    <xf numFmtId="0" fontId="16" fillId="5" borderId="1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5" fillId="3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left" vertical="center" wrapText="1"/>
    </xf>
    <xf numFmtId="0" fontId="1" fillId="2" borderId="20" xfId="0" applyFont="1" applyFill="1" applyBorder="1" applyAlignment="1">
      <alignment horizontal="left" vertic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1" fillId="2" borderId="17" xfId="0" applyFont="1" applyFill="1" applyBorder="1" applyAlignment="1">
      <alignment horizontal="left" vertical="center" wrapText="1"/>
    </xf>
    <xf numFmtId="0" fontId="1" fillId="2" borderId="22" xfId="0" applyFont="1" applyFill="1" applyBorder="1" applyAlignment="1">
      <alignment horizontal="left" vertical="center" wrapText="1"/>
    </xf>
    <xf numFmtId="0" fontId="5" fillId="0" borderId="27" xfId="0" applyFont="1" applyBorder="1" applyAlignment="1">
      <alignment horizontal="left" vertical="center" wrapText="1"/>
    </xf>
    <xf numFmtId="0" fontId="8" fillId="2" borderId="28" xfId="0" applyFont="1" applyFill="1" applyBorder="1" applyAlignment="1">
      <alignment horizontal="center" wrapText="1"/>
    </xf>
    <xf numFmtId="0" fontId="8" fillId="2" borderId="1" xfId="0" applyFont="1" applyFill="1" applyBorder="1" applyAlignment="1">
      <alignment horizontal="center" wrapText="1"/>
    </xf>
    <xf numFmtId="0" fontId="8" fillId="2" borderId="29" xfId="0" applyFont="1" applyFill="1" applyBorder="1" applyAlignment="1">
      <alignment horizontal="center" wrapText="1"/>
    </xf>
    <xf numFmtId="0" fontId="18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left" vertical="center" wrapText="1"/>
    </xf>
    <xf numFmtId="0" fontId="7" fillId="6" borderId="30" xfId="0" applyFont="1" applyFill="1" applyBorder="1" applyAlignment="1">
      <alignment horizontal="center"/>
    </xf>
    <xf numFmtId="0" fontId="7" fillId="6" borderId="31" xfId="0" applyFont="1" applyFill="1" applyBorder="1" applyAlignment="1">
      <alignment horizontal="center"/>
    </xf>
    <xf numFmtId="0" fontId="7" fillId="6" borderId="32" xfId="0" applyFont="1" applyFill="1" applyBorder="1" applyAlignment="1">
      <alignment horizontal="center"/>
    </xf>
    <xf numFmtId="0" fontId="4" fillId="2" borderId="34" xfId="0" applyFont="1" applyFill="1" applyBorder="1" applyAlignment="1">
      <alignment horizontal="left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wrapText="1"/>
    </xf>
    <xf numFmtId="0" fontId="4" fillId="2" borderId="16" xfId="0" applyFont="1" applyFill="1" applyBorder="1" applyAlignment="1">
      <alignment horizontal="center" wrapText="1"/>
    </xf>
    <xf numFmtId="0" fontId="4" fillId="2" borderId="25" xfId="0" applyFont="1" applyFill="1" applyBorder="1" applyAlignment="1">
      <alignment horizontal="center" wrapText="1"/>
    </xf>
    <xf numFmtId="0" fontId="7" fillId="4" borderId="30" xfId="0" applyFont="1" applyFill="1" applyBorder="1" applyAlignment="1">
      <alignment horizontal="center"/>
    </xf>
    <xf numFmtId="0" fontId="7" fillId="4" borderId="31" xfId="0" applyFont="1" applyFill="1" applyBorder="1" applyAlignment="1">
      <alignment horizontal="center"/>
    </xf>
    <xf numFmtId="0" fontId="7" fillId="4" borderId="32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ED49C-AA2B-45BE-8E63-9E1E8CF93629}">
  <dimension ref="A1:D37"/>
  <sheetViews>
    <sheetView tabSelected="1" zoomScale="130" zoomScaleNormal="130" workbookViewId="0">
      <selection activeCell="C6" sqref="C6"/>
    </sheetView>
  </sheetViews>
  <sheetFormatPr baseColWidth="10" defaultColWidth="9.1640625" defaultRowHeight="14" x14ac:dyDescent="0.2"/>
  <cols>
    <col min="1" max="1" width="19.5" style="5" customWidth="1"/>
    <col min="2" max="2" width="26.5" style="5" customWidth="1"/>
    <col min="3" max="3" width="17" style="5" customWidth="1"/>
    <col min="4" max="16384" width="9.1640625" style="5"/>
  </cols>
  <sheetData>
    <row r="1" spans="1:4" ht="20" thickBot="1" x14ac:dyDescent="0.3">
      <c r="A1" s="100" t="s">
        <v>86</v>
      </c>
      <c r="B1" s="101"/>
      <c r="C1" s="101"/>
    </row>
    <row r="2" spans="1:4" x14ac:dyDescent="0.2">
      <c r="A2" s="103" t="s">
        <v>62</v>
      </c>
      <c r="B2" s="104"/>
      <c r="C2" s="105"/>
    </row>
    <row r="3" spans="1:4" ht="20.25" customHeight="1" x14ac:dyDescent="0.2">
      <c r="A3" s="35" t="s">
        <v>1</v>
      </c>
      <c r="B3" s="2" t="s">
        <v>2</v>
      </c>
      <c r="C3" s="46" t="s">
        <v>3</v>
      </c>
      <c r="D3" s="4">
        <v>1.4E-2</v>
      </c>
    </row>
    <row r="4" spans="1:4" ht="14.25" customHeight="1" x14ac:dyDescent="0.2">
      <c r="A4" s="36" t="s">
        <v>4</v>
      </c>
      <c r="B4" s="7"/>
      <c r="C4" s="37"/>
    </row>
    <row r="5" spans="1:4" ht="16.5" customHeight="1" x14ac:dyDescent="0.2">
      <c r="A5" s="38"/>
      <c r="B5" s="7" t="s">
        <v>5</v>
      </c>
      <c r="C5" s="39">
        <v>5750</v>
      </c>
      <c r="D5" s="5">
        <v>115</v>
      </c>
    </row>
    <row r="6" spans="1:4" ht="13.5" customHeight="1" x14ac:dyDescent="0.2">
      <c r="A6" s="38"/>
      <c r="B6" s="7" t="s">
        <v>6</v>
      </c>
      <c r="C6" s="39">
        <v>0</v>
      </c>
    </row>
    <row r="7" spans="1:4" ht="15" customHeight="1" x14ac:dyDescent="0.2">
      <c r="A7" s="38"/>
      <c r="B7" s="7" t="s">
        <v>7</v>
      </c>
      <c r="C7" s="39">
        <v>0</v>
      </c>
    </row>
    <row r="8" spans="1:4" ht="15.75" customHeight="1" thickBot="1" x14ac:dyDescent="0.25">
      <c r="A8" s="40"/>
      <c r="B8" s="12" t="s">
        <v>8</v>
      </c>
      <c r="C8" s="41">
        <f>(C5+C6+C7)*D3</f>
        <v>80.5</v>
      </c>
    </row>
    <row r="9" spans="1:4" x14ac:dyDescent="0.2">
      <c r="A9" s="102" t="s">
        <v>9</v>
      </c>
      <c r="B9" s="76"/>
      <c r="C9" s="42">
        <f>SUM(C5:C8)</f>
        <v>5830.5</v>
      </c>
    </row>
    <row r="10" spans="1:4" ht="6.75" customHeight="1" x14ac:dyDescent="0.2">
      <c r="A10" s="38"/>
      <c r="B10" s="7"/>
      <c r="C10" s="37"/>
    </row>
    <row r="11" spans="1:4" ht="15" x14ac:dyDescent="0.2">
      <c r="A11" s="36" t="s">
        <v>10</v>
      </c>
      <c r="B11" s="7"/>
      <c r="C11" s="37"/>
    </row>
    <row r="12" spans="1:4" ht="15" x14ac:dyDescent="0.2">
      <c r="A12" s="38"/>
      <c r="B12" s="7" t="s">
        <v>56</v>
      </c>
      <c r="C12" s="39">
        <v>56</v>
      </c>
    </row>
    <row r="13" spans="1:4" ht="15" x14ac:dyDescent="0.2">
      <c r="A13" s="38"/>
      <c r="B13" s="7" t="s">
        <v>11</v>
      </c>
      <c r="C13" s="39">
        <v>550</v>
      </c>
    </row>
    <row r="14" spans="1:4" ht="15" x14ac:dyDescent="0.2">
      <c r="A14" s="38"/>
      <c r="B14" s="47" t="s">
        <v>82</v>
      </c>
      <c r="C14" s="39">
        <v>0</v>
      </c>
    </row>
    <row r="15" spans="1:4" ht="15" x14ac:dyDescent="0.2">
      <c r="A15" s="38"/>
      <c r="B15" s="47" t="s">
        <v>72</v>
      </c>
      <c r="C15" s="39">
        <v>0</v>
      </c>
    </row>
    <row r="16" spans="1:4" ht="16" thickBot="1" x14ac:dyDescent="0.25">
      <c r="A16" s="40"/>
      <c r="B16" s="12" t="s">
        <v>50</v>
      </c>
      <c r="C16" s="41">
        <v>0</v>
      </c>
    </row>
    <row r="17" spans="1:3" ht="17.25" customHeight="1" thickBot="1" x14ac:dyDescent="0.25">
      <c r="A17" s="106" t="s">
        <v>12</v>
      </c>
      <c r="B17" s="107"/>
      <c r="C17" s="43">
        <f>SUM(C12:C16)</f>
        <v>606</v>
      </c>
    </row>
    <row r="18" spans="1:3" ht="16.5" customHeight="1" thickTop="1" thickBot="1" x14ac:dyDescent="0.25">
      <c r="A18" s="44" t="s">
        <v>0</v>
      </c>
      <c r="B18" s="12"/>
      <c r="C18" s="61">
        <f>C9+C17</f>
        <v>6436.5</v>
      </c>
    </row>
    <row r="19" spans="1:3" x14ac:dyDescent="0.2">
      <c r="A19" s="110" t="s">
        <v>13</v>
      </c>
      <c r="B19" s="111"/>
      <c r="C19" s="112"/>
    </row>
    <row r="20" spans="1:3" ht="15" customHeight="1" x14ac:dyDescent="0.2">
      <c r="A20" s="49" t="s">
        <v>15</v>
      </c>
      <c r="B20" s="108" t="s">
        <v>16</v>
      </c>
      <c r="C20" s="109"/>
    </row>
    <row r="21" spans="1:3" ht="15" customHeight="1" x14ac:dyDescent="0.2">
      <c r="A21" s="33" t="s">
        <v>22</v>
      </c>
      <c r="B21" s="70" t="s">
        <v>17</v>
      </c>
      <c r="C21" s="96"/>
    </row>
    <row r="22" spans="1:3" ht="15" customHeight="1" x14ac:dyDescent="0.2">
      <c r="A22" s="33" t="s">
        <v>23</v>
      </c>
      <c r="B22" s="70" t="s">
        <v>18</v>
      </c>
      <c r="C22" s="96"/>
    </row>
    <row r="23" spans="1:3" ht="15" x14ac:dyDescent="0.2">
      <c r="A23" s="33" t="s">
        <v>24</v>
      </c>
      <c r="B23" s="70" t="s">
        <v>48</v>
      </c>
      <c r="C23" s="96"/>
    </row>
    <row r="24" spans="1:3" ht="15" customHeight="1" x14ac:dyDescent="0.2">
      <c r="A24" s="33" t="s">
        <v>25</v>
      </c>
      <c r="B24" s="70">
        <v>401213402</v>
      </c>
      <c r="C24" s="96"/>
    </row>
    <row r="25" spans="1:3" ht="15" x14ac:dyDescent="0.2">
      <c r="A25" s="33" t="s">
        <v>26</v>
      </c>
      <c r="B25" s="70" t="s">
        <v>19</v>
      </c>
      <c r="C25" s="96"/>
    </row>
    <row r="26" spans="1:3" ht="12.75" customHeight="1" x14ac:dyDescent="0.2">
      <c r="A26" s="33" t="s">
        <v>27</v>
      </c>
      <c r="B26" s="70" t="s">
        <v>20</v>
      </c>
      <c r="C26" s="96"/>
    </row>
    <row r="27" spans="1:3" ht="26.25" customHeight="1" x14ac:dyDescent="0.2">
      <c r="A27" s="33" t="s">
        <v>28</v>
      </c>
      <c r="B27" s="70" t="s">
        <v>21</v>
      </c>
      <c r="C27" s="96"/>
    </row>
    <row r="28" spans="1:3" ht="15" customHeight="1" x14ac:dyDescent="0.2">
      <c r="A28" s="33" t="s">
        <v>29</v>
      </c>
      <c r="B28" s="21" t="s">
        <v>30</v>
      </c>
      <c r="C28" s="34"/>
    </row>
    <row r="29" spans="1:3" ht="15" thickBot="1" x14ac:dyDescent="0.25">
      <c r="A29" s="97" t="s">
        <v>14</v>
      </c>
      <c r="B29" s="98"/>
      <c r="C29" s="99"/>
    </row>
    <row r="31" spans="1:3" x14ac:dyDescent="0.2">
      <c r="A31" s="67" t="s">
        <v>73</v>
      </c>
      <c r="B31" s="68">
        <v>2300</v>
      </c>
      <c r="C31" s="66"/>
    </row>
    <row r="32" spans="1:3" x14ac:dyDescent="0.2">
      <c r="A32" s="67" t="s">
        <v>74</v>
      </c>
      <c r="B32" s="68">
        <v>1150</v>
      </c>
      <c r="C32" s="66"/>
    </row>
    <row r="33" spans="1:3" x14ac:dyDescent="0.2">
      <c r="A33" s="67" t="s">
        <v>78</v>
      </c>
      <c r="B33" s="68">
        <v>580</v>
      </c>
      <c r="C33" s="66"/>
    </row>
    <row r="34" spans="1:3" x14ac:dyDescent="0.2">
      <c r="A34" s="67"/>
      <c r="B34" s="66" t="s">
        <v>83</v>
      </c>
      <c r="C34" s="66" t="s">
        <v>84</v>
      </c>
    </row>
    <row r="35" spans="1:3" x14ac:dyDescent="0.2">
      <c r="A35" s="67" t="s">
        <v>75</v>
      </c>
      <c r="B35" s="68">
        <v>550</v>
      </c>
      <c r="C35" s="69">
        <v>250</v>
      </c>
    </row>
    <row r="36" spans="1:3" x14ac:dyDescent="0.2">
      <c r="A36" s="67" t="s">
        <v>76</v>
      </c>
      <c r="B36" s="68">
        <v>750</v>
      </c>
      <c r="C36" s="68">
        <v>330</v>
      </c>
    </row>
    <row r="37" spans="1:3" x14ac:dyDescent="0.2">
      <c r="A37" s="67" t="s">
        <v>77</v>
      </c>
      <c r="B37" s="68">
        <v>750</v>
      </c>
      <c r="C37" s="68">
        <v>446.6</v>
      </c>
    </row>
  </sheetData>
  <mergeCells count="14">
    <mergeCell ref="A1:C1"/>
    <mergeCell ref="A9:B9"/>
    <mergeCell ref="A2:C2"/>
    <mergeCell ref="B21:C21"/>
    <mergeCell ref="B22:C22"/>
    <mergeCell ref="A17:B17"/>
    <mergeCell ref="B20:C20"/>
    <mergeCell ref="A19:C19"/>
    <mergeCell ref="B23:C23"/>
    <mergeCell ref="B24:C24"/>
    <mergeCell ref="B25:C25"/>
    <mergeCell ref="B26:C26"/>
    <mergeCell ref="A29:C29"/>
    <mergeCell ref="B27:C2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1F4E1-B268-494C-98F1-36E29EA671F2}">
  <dimension ref="A1:D51"/>
  <sheetViews>
    <sheetView zoomScale="115" zoomScaleNormal="115" workbookViewId="0">
      <selection activeCell="A41" sqref="A41:C51"/>
    </sheetView>
  </sheetViews>
  <sheetFormatPr baseColWidth="10" defaultColWidth="9.1640625" defaultRowHeight="14" x14ac:dyDescent="0.2"/>
  <cols>
    <col min="1" max="1" width="19.5" style="5" customWidth="1"/>
    <col min="2" max="2" width="26.5" style="5" customWidth="1"/>
    <col min="3" max="3" width="17" style="5" customWidth="1"/>
    <col min="4" max="16384" width="9.1640625" style="5"/>
  </cols>
  <sheetData>
    <row r="1" spans="1:4" x14ac:dyDescent="0.2">
      <c r="A1" s="113" t="s">
        <v>69</v>
      </c>
      <c r="B1" s="114"/>
      <c r="C1" s="115"/>
    </row>
    <row r="2" spans="1:4" ht="20.25" customHeight="1" x14ac:dyDescent="0.2">
      <c r="A2" s="35" t="s">
        <v>1</v>
      </c>
      <c r="B2" s="2" t="s">
        <v>2</v>
      </c>
      <c r="C2" s="46" t="s">
        <v>3</v>
      </c>
      <c r="D2" s="4">
        <v>1.4E-2</v>
      </c>
    </row>
    <row r="3" spans="1:4" ht="14.25" customHeight="1" x14ac:dyDescent="0.2">
      <c r="A3" s="36" t="s">
        <v>70</v>
      </c>
      <c r="B3" s="7"/>
      <c r="C3" s="37"/>
    </row>
    <row r="4" spans="1:4" ht="16.5" customHeight="1" thickBot="1" x14ac:dyDescent="0.25">
      <c r="A4" s="38"/>
      <c r="B4" s="7" t="s">
        <v>5</v>
      </c>
      <c r="C4" s="41">
        <v>3580</v>
      </c>
    </row>
    <row r="5" spans="1:4" x14ac:dyDescent="0.2">
      <c r="A5" s="102" t="s">
        <v>9</v>
      </c>
      <c r="B5" s="76"/>
      <c r="C5" s="42">
        <f>SUM(C4:C4)</f>
        <v>3580</v>
      </c>
    </row>
    <row r="6" spans="1:4" ht="6.75" customHeight="1" x14ac:dyDescent="0.2">
      <c r="A6" s="38"/>
      <c r="B6" s="7"/>
      <c r="C6" s="37"/>
    </row>
    <row r="7" spans="1:4" ht="15" x14ac:dyDescent="0.2">
      <c r="A7" s="36" t="s">
        <v>10</v>
      </c>
      <c r="B7" s="7"/>
      <c r="C7" s="37"/>
    </row>
    <row r="8" spans="1:4" ht="15" x14ac:dyDescent="0.2">
      <c r="A8" s="38"/>
      <c r="B8" s="7" t="s">
        <v>11</v>
      </c>
      <c r="C8" s="39">
        <v>1000</v>
      </c>
    </row>
    <row r="9" spans="1:4" ht="16" thickBot="1" x14ac:dyDescent="0.25">
      <c r="A9" s="38"/>
      <c r="B9" s="47" t="s">
        <v>71</v>
      </c>
      <c r="C9" s="39">
        <v>1000</v>
      </c>
      <c r="D9" s="5">
        <v>3</v>
      </c>
    </row>
    <row r="10" spans="1:4" ht="17.25" customHeight="1" thickBot="1" x14ac:dyDescent="0.25">
      <c r="A10" s="106" t="s">
        <v>12</v>
      </c>
      <c r="B10" s="107"/>
      <c r="C10" s="43">
        <f>SUM(C8:C9)</f>
        <v>2000</v>
      </c>
    </row>
    <row r="11" spans="1:4" ht="16.5" customHeight="1" thickTop="1" thickBot="1" x14ac:dyDescent="0.25">
      <c r="A11" s="44" t="s">
        <v>0</v>
      </c>
      <c r="B11" s="12"/>
      <c r="C11" s="45">
        <f>C5+C10</f>
        <v>5580</v>
      </c>
    </row>
    <row r="12" spans="1:4" x14ac:dyDescent="0.2">
      <c r="A12" s="110" t="s">
        <v>13</v>
      </c>
      <c r="B12" s="111"/>
      <c r="C12" s="112"/>
    </row>
    <row r="13" spans="1:4" ht="15" customHeight="1" x14ac:dyDescent="0.2">
      <c r="A13" s="49" t="s">
        <v>15</v>
      </c>
      <c r="B13" s="108" t="s">
        <v>16</v>
      </c>
      <c r="C13" s="109"/>
    </row>
    <row r="14" spans="1:4" ht="15" customHeight="1" x14ac:dyDescent="0.2">
      <c r="A14" s="33" t="s">
        <v>22</v>
      </c>
      <c r="B14" s="70" t="s">
        <v>17</v>
      </c>
      <c r="C14" s="96"/>
    </row>
    <row r="15" spans="1:4" ht="15" customHeight="1" x14ac:dyDescent="0.2">
      <c r="A15" s="33" t="s">
        <v>23</v>
      </c>
      <c r="B15" s="70" t="s">
        <v>18</v>
      </c>
      <c r="C15" s="96"/>
    </row>
    <row r="16" spans="1:4" ht="15" x14ac:dyDescent="0.2">
      <c r="A16" s="33" t="s">
        <v>24</v>
      </c>
      <c r="B16" s="70" t="s">
        <v>48</v>
      </c>
      <c r="C16" s="96"/>
    </row>
    <row r="17" spans="1:3" ht="15" customHeight="1" x14ac:dyDescent="0.2">
      <c r="A17" s="33" t="s">
        <v>25</v>
      </c>
      <c r="B17" s="70">
        <v>401213402</v>
      </c>
      <c r="C17" s="96"/>
    </row>
    <row r="18" spans="1:3" ht="15" x14ac:dyDescent="0.2">
      <c r="A18" s="33" t="s">
        <v>26</v>
      </c>
      <c r="B18" s="70" t="s">
        <v>19</v>
      </c>
      <c r="C18" s="96"/>
    </row>
    <row r="19" spans="1:3" ht="12.75" customHeight="1" x14ac:dyDescent="0.2">
      <c r="A19" s="33" t="s">
        <v>27</v>
      </c>
      <c r="B19" s="70" t="s">
        <v>20</v>
      </c>
      <c r="C19" s="96"/>
    </row>
    <row r="20" spans="1:3" ht="26.25" customHeight="1" x14ac:dyDescent="0.2">
      <c r="A20" s="33" t="s">
        <v>28</v>
      </c>
      <c r="B20" s="70" t="s">
        <v>21</v>
      </c>
      <c r="C20" s="96"/>
    </row>
    <row r="21" spans="1:3" ht="15" customHeight="1" x14ac:dyDescent="0.2">
      <c r="A21" s="33" t="s">
        <v>29</v>
      </c>
      <c r="B21" s="21" t="s">
        <v>30</v>
      </c>
      <c r="C21" s="34"/>
    </row>
    <row r="22" spans="1:3" ht="15" thickBot="1" x14ac:dyDescent="0.25">
      <c r="A22" s="97" t="s">
        <v>14</v>
      </c>
      <c r="B22" s="98"/>
      <c r="C22" s="99"/>
    </row>
    <row r="24" spans="1:3" x14ac:dyDescent="0.2">
      <c r="A24" s="59" t="s">
        <v>70</v>
      </c>
      <c r="B24" s="60">
        <v>3580</v>
      </c>
    </row>
    <row r="25" spans="1:3" x14ac:dyDescent="0.2">
      <c r="A25" s="59" t="s">
        <v>83</v>
      </c>
      <c r="B25" s="60">
        <v>1000</v>
      </c>
    </row>
    <row r="26" spans="1:3" x14ac:dyDescent="0.2">
      <c r="A26" s="59" t="s">
        <v>85</v>
      </c>
      <c r="B26" s="60">
        <v>1000</v>
      </c>
    </row>
    <row r="27" spans="1:3" x14ac:dyDescent="0.2">
      <c r="A27" s="59"/>
      <c r="B27" s="59"/>
    </row>
    <row r="29" spans="1:3" ht="15" thickBot="1" x14ac:dyDescent="0.25"/>
    <row r="30" spans="1:3" x14ac:dyDescent="0.2">
      <c r="A30" s="113" t="s">
        <v>96</v>
      </c>
      <c r="B30" s="114"/>
      <c r="C30" s="115"/>
    </row>
    <row r="31" spans="1:3" ht="15" x14ac:dyDescent="0.2">
      <c r="A31" s="35" t="s">
        <v>1</v>
      </c>
      <c r="B31" s="2" t="s">
        <v>2</v>
      </c>
      <c r="C31" s="46" t="s">
        <v>3</v>
      </c>
    </row>
    <row r="32" spans="1:3" ht="15" x14ac:dyDescent="0.2">
      <c r="A32" s="36" t="s">
        <v>70</v>
      </c>
      <c r="B32" s="7"/>
      <c r="C32" s="37"/>
    </row>
    <row r="33" spans="1:3" ht="16" thickBot="1" x14ac:dyDescent="0.25">
      <c r="A33" s="38"/>
      <c r="B33" s="7" t="s">
        <v>5</v>
      </c>
      <c r="C33" s="41">
        <v>3580</v>
      </c>
    </row>
    <row r="34" spans="1:3" x14ac:dyDescent="0.2">
      <c r="A34" s="102" t="s">
        <v>9</v>
      </c>
      <c r="B34" s="76"/>
      <c r="C34" s="42">
        <f>SUM(C33:C33)</f>
        <v>3580</v>
      </c>
    </row>
    <row r="35" spans="1:3" x14ac:dyDescent="0.2">
      <c r="A35" s="38"/>
      <c r="B35" s="7"/>
      <c r="C35" s="37"/>
    </row>
    <row r="36" spans="1:3" ht="15" x14ac:dyDescent="0.2">
      <c r="A36" s="36" t="s">
        <v>10</v>
      </c>
      <c r="B36" s="7"/>
      <c r="C36" s="37"/>
    </row>
    <row r="37" spans="1:3" ht="15" x14ac:dyDescent="0.2">
      <c r="A37" s="38"/>
      <c r="B37" s="7" t="s">
        <v>11</v>
      </c>
      <c r="C37" s="39">
        <v>1000</v>
      </c>
    </row>
    <row r="38" spans="1:3" ht="16" thickBot="1" x14ac:dyDescent="0.25">
      <c r="A38" s="38"/>
      <c r="B38" s="47" t="s">
        <v>71</v>
      </c>
      <c r="C38" s="39">
        <v>1000</v>
      </c>
    </row>
    <row r="39" spans="1:3" ht="15" thickBot="1" x14ac:dyDescent="0.25">
      <c r="A39" s="106" t="s">
        <v>12</v>
      </c>
      <c r="B39" s="107"/>
      <c r="C39" s="43">
        <f>SUM(C37:C38)</f>
        <v>2000</v>
      </c>
    </row>
    <row r="40" spans="1:3" ht="17" thickTop="1" thickBot="1" x14ac:dyDescent="0.25">
      <c r="A40" s="44" t="s">
        <v>0</v>
      </c>
      <c r="B40" s="12"/>
      <c r="C40" s="45">
        <f>C34+C39</f>
        <v>5580</v>
      </c>
    </row>
    <row r="41" spans="1:3" x14ac:dyDescent="0.2">
      <c r="A41" s="110" t="s">
        <v>13</v>
      </c>
      <c r="B41" s="111"/>
      <c r="C41" s="112"/>
    </row>
    <row r="42" spans="1:3" ht="15" x14ac:dyDescent="0.2">
      <c r="A42" s="49" t="s">
        <v>15</v>
      </c>
      <c r="B42" s="108" t="s">
        <v>16</v>
      </c>
      <c r="C42" s="109"/>
    </row>
    <row r="43" spans="1:3" ht="15" x14ac:dyDescent="0.2">
      <c r="A43" s="33" t="s">
        <v>22</v>
      </c>
      <c r="B43" s="70" t="s">
        <v>17</v>
      </c>
      <c r="C43" s="96"/>
    </row>
    <row r="44" spans="1:3" ht="15" x14ac:dyDescent="0.2">
      <c r="A44" s="33" t="s">
        <v>23</v>
      </c>
      <c r="B44" s="70" t="s">
        <v>18</v>
      </c>
      <c r="C44" s="96"/>
    </row>
    <row r="45" spans="1:3" ht="15" x14ac:dyDescent="0.2">
      <c r="A45" s="33" t="s">
        <v>24</v>
      </c>
      <c r="B45" s="70" t="s">
        <v>48</v>
      </c>
      <c r="C45" s="96"/>
    </row>
    <row r="46" spans="1:3" ht="15" x14ac:dyDescent="0.2">
      <c r="A46" s="33" t="s">
        <v>25</v>
      </c>
      <c r="B46" s="70">
        <v>401213402</v>
      </c>
      <c r="C46" s="96"/>
    </row>
    <row r="47" spans="1:3" ht="15" x14ac:dyDescent="0.2">
      <c r="A47" s="33" t="s">
        <v>26</v>
      </c>
      <c r="B47" s="70" t="s">
        <v>19</v>
      </c>
      <c r="C47" s="96"/>
    </row>
    <row r="48" spans="1:3" ht="15" x14ac:dyDescent="0.2">
      <c r="A48" s="33" t="s">
        <v>27</v>
      </c>
      <c r="B48" s="70" t="s">
        <v>20</v>
      </c>
      <c r="C48" s="96"/>
    </row>
    <row r="49" spans="1:3" ht="15" x14ac:dyDescent="0.2">
      <c r="A49" s="33" t="s">
        <v>28</v>
      </c>
      <c r="B49" s="70" t="s">
        <v>21</v>
      </c>
      <c r="C49" s="96"/>
    </row>
    <row r="50" spans="1:3" ht="15" x14ac:dyDescent="0.2">
      <c r="A50" s="33" t="s">
        <v>29</v>
      </c>
      <c r="B50" s="21" t="s">
        <v>30</v>
      </c>
      <c r="C50" s="34"/>
    </row>
    <row r="51" spans="1:3" ht="15" thickBot="1" x14ac:dyDescent="0.25">
      <c r="A51" s="97" t="s">
        <v>14</v>
      </c>
      <c r="B51" s="98"/>
      <c r="C51" s="99"/>
    </row>
  </sheetData>
  <mergeCells count="26">
    <mergeCell ref="B14:C14"/>
    <mergeCell ref="A1:C1"/>
    <mergeCell ref="A5:B5"/>
    <mergeCell ref="A10:B10"/>
    <mergeCell ref="A12:C12"/>
    <mergeCell ref="B13:C13"/>
    <mergeCell ref="A22:C22"/>
    <mergeCell ref="B15:C15"/>
    <mergeCell ref="B16:C16"/>
    <mergeCell ref="B17:C17"/>
    <mergeCell ref="B18:C18"/>
    <mergeCell ref="B19:C19"/>
    <mergeCell ref="B20:C20"/>
    <mergeCell ref="A30:C30"/>
    <mergeCell ref="A34:B34"/>
    <mergeCell ref="A39:B39"/>
    <mergeCell ref="A41:C41"/>
    <mergeCell ref="B42:C42"/>
    <mergeCell ref="B48:C48"/>
    <mergeCell ref="B49:C49"/>
    <mergeCell ref="A51:C51"/>
    <mergeCell ref="B43:C43"/>
    <mergeCell ref="B44:C44"/>
    <mergeCell ref="B45:C45"/>
    <mergeCell ref="B46:C46"/>
    <mergeCell ref="B47:C4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83C10-E43C-43FB-B456-DB79879BC7AF}">
  <dimension ref="A1:D19"/>
  <sheetViews>
    <sheetView zoomScale="130" zoomScaleNormal="130" workbookViewId="0">
      <selection activeCell="B26" sqref="B26"/>
    </sheetView>
  </sheetViews>
  <sheetFormatPr baseColWidth="10" defaultColWidth="9.1640625" defaultRowHeight="14" x14ac:dyDescent="0.2"/>
  <cols>
    <col min="1" max="1" width="19.5" style="5" customWidth="1"/>
    <col min="2" max="2" width="26.5" style="5" customWidth="1"/>
    <col min="3" max="3" width="17" style="5" customWidth="1"/>
    <col min="4" max="16384" width="9.1640625" style="5"/>
  </cols>
  <sheetData>
    <row r="1" spans="1:4" x14ac:dyDescent="0.2">
      <c r="A1" s="116" t="s">
        <v>37</v>
      </c>
      <c r="B1" s="116"/>
      <c r="C1" s="116"/>
    </row>
    <row r="2" spans="1:4" ht="20.25" customHeight="1" x14ac:dyDescent="0.2">
      <c r="A2" s="1" t="s">
        <v>1</v>
      </c>
      <c r="B2" s="2" t="s">
        <v>2</v>
      </c>
      <c r="C2" s="3" t="s">
        <v>3</v>
      </c>
      <c r="D2" s="4">
        <v>1.4E-2</v>
      </c>
    </row>
    <row r="3" spans="1:4" ht="15" x14ac:dyDescent="0.2">
      <c r="A3" s="6" t="s">
        <v>10</v>
      </c>
      <c r="B3" s="7"/>
      <c r="C3" s="8"/>
    </row>
    <row r="4" spans="1:4" ht="15" x14ac:dyDescent="0.2">
      <c r="A4" s="9"/>
      <c r="B4" s="7" t="s">
        <v>67</v>
      </c>
      <c r="C4" s="10">
        <v>56</v>
      </c>
    </row>
    <row r="5" spans="1:4" ht="17.25" customHeight="1" thickBot="1" x14ac:dyDescent="0.25">
      <c r="A5" s="9"/>
      <c r="B5" s="7" t="s">
        <v>11</v>
      </c>
      <c r="C5" s="13">
        <v>0</v>
      </c>
    </row>
    <row r="6" spans="1:4" x14ac:dyDescent="0.2">
      <c r="A6" s="75" t="s">
        <v>12</v>
      </c>
      <c r="B6" s="76"/>
      <c r="C6" s="14">
        <f>SUM(C4:C5)</f>
        <v>56</v>
      </c>
    </row>
    <row r="7" spans="1:4" ht="7.5" customHeight="1" thickBot="1" x14ac:dyDescent="0.25">
      <c r="A7" s="15"/>
      <c r="B7" s="16"/>
      <c r="C7" s="17"/>
    </row>
    <row r="8" spans="1:4" ht="16" thickTop="1" x14ac:dyDescent="0.2">
      <c r="A8" s="26" t="s">
        <v>0</v>
      </c>
      <c r="B8" s="27"/>
      <c r="C8" s="28">
        <f>C6</f>
        <v>56</v>
      </c>
    </row>
    <row r="9" spans="1:4" x14ac:dyDescent="0.2">
      <c r="A9" s="77" t="s">
        <v>13</v>
      </c>
      <c r="B9" s="77"/>
      <c r="C9" s="77"/>
    </row>
    <row r="10" spans="1:4" ht="15" customHeight="1" x14ac:dyDescent="0.2">
      <c r="A10" s="18" t="s">
        <v>15</v>
      </c>
      <c r="B10" s="78" t="s">
        <v>16</v>
      </c>
      <c r="C10" s="79"/>
    </row>
    <row r="11" spans="1:4" ht="15" customHeight="1" x14ac:dyDescent="0.2">
      <c r="A11" s="19" t="s">
        <v>22</v>
      </c>
      <c r="B11" s="70" t="s">
        <v>17</v>
      </c>
      <c r="C11" s="71"/>
    </row>
    <row r="12" spans="1:4" ht="15" customHeight="1" x14ac:dyDescent="0.2">
      <c r="A12" s="19" t="s">
        <v>23</v>
      </c>
      <c r="B12" s="70" t="s">
        <v>18</v>
      </c>
      <c r="C12" s="71"/>
    </row>
    <row r="13" spans="1:4" ht="15" x14ac:dyDescent="0.2">
      <c r="A13" s="19" t="s">
        <v>24</v>
      </c>
      <c r="B13" s="70" t="s">
        <v>47</v>
      </c>
      <c r="C13" s="71"/>
    </row>
    <row r="14" spans="1:4" ht="15" customHeight="1" x14ac:dyDescent="0.2">
      <c r="A14" s="19" t="s">
        <v>25</v>
      </c>
      <c r="B14" s="70">
        <v>401213402</v>
      </c>
      <c r="C14" s="71"/>
    </row>
    <row r="15" spans="1:4" ht="15" x14ac:dyDescent="0.2">
      <c r="A15" s="19" t="s">
        <v>26</v>
      </c>
      <c r="B15" s="70" t="s">
        <v>19</v>
      </c>
      <c r="C15" s="71"/>
    </row>
    <row r="16" spans="1:4" ht="12.75" customHeight="1" x14ac:dyDescent="0.2">
      <c r="A16" s="19" t="s">
        <v>27</v>
      </c>
      <c r="B16" s="70" t="s">
        <v>20</v>
      </c>
      <c r="C16" s="71"/>
    </row>
    <row r="17" spans="1:3" ht="26.25" customHeight="1" x14ac:dyDescent="0.2">
      <c r="A17" s="19" t="s">
        <v>28</v>
      </c>
      <c r="B17" s="70" t="s">
        <v>21</v>
      </c>
      <c r="C17" s="71"/>
    </row>
    <row r="18" spans="1:3" ht="15" customHeight="1" x14ac:dyDescent="0.2">
      <c r="A18" s="19" t="s">
        <v>29</v>
      </c>
      <c r="B18" s="21" t="s">
        <v>30</v>
      </c>
      <c r="C18" s="20"/>
    </row>
    <row r="19" spans="1:3" x14ac:dyDescent="0.2">
      <c r="A19" s="91" t="s">
        <v>14</v>
      </c>
      <c r="B19" s="92"/>
      <c r="C19" s="93"/>
    </row>
  </sheetData>
  <mergeCells count="12">
    <mergeCell ref="A19:C19"/>
    <mergeCell ref="B12:C12"/>
    <mergeCell ref="B13:C13"/>
    <mergeCell ref="B14:C14"/>
    <mergeCell ref="B15:C15"/>
    <mergeCell ref="B16:C16"/>
    <mergeCell ref="B17:C17"/>
    <mergeCell ref="A1:C1"/>
    <mergeCell ref="A6:B6"/>
    <mergeCell ref="A9:C9"/>
    <mergeCell ref="B10:C10"/>
    <mergeCell ref="B11:C1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28F17-887B-4E61-B122-8F1E2312CA2E}">
  <dimension ref="A1:D27"/>
  <sheetViews>
    <sheetView zoomScale="130" zoomScaleNormal="130" workbookViewId="0">
      <selection activeCell="D12" sqref="D12"/>
    </sheetView>
  </sheetViews>
  <sheetFormatPr baseColWidth="10" defaultColWidth="9.1640625" defaultRowHeight="14" x14ac:dyDescent="0.2"/>
  <cols>
    <col min="1" max="1" width="19.5" style="5" customWidth="1"/>
    <col min="2" max="2" width="26.5" style="5" customWidth="1"/>
    <col min="3" max="3" width="17" style="5" customWidth="1"/>
    <col min="4" max="16384" width="9.1640625" style="5"/>
  </cols>
  <sheetData>
    <row r="1" spans="1:4" x14ac:dyDescent="0.2">
      <c r="A1" s="116" t="s">
        <v>38</v>
      </c>
      <c r="B1" s="116"/>
      <c r="C1" s="116"/>
    </row>
    <row r="2" spans="1:4" ht="20.25" customHeight="1" x14ac:dyDescent="0.2">
      <c r="A2" s="1" t="s">
        <v>1</v>
      </c>
      <c r="B2" s="2" t="s">
        <v>2</v>
      </c>
      <c r="C2" s="3" t="s">
        <v>3</v>
      </c>
      <c r="D2" s="4">
        <v>1.4E-2</v>
      </c>
    </row>
    <row r="3" spans="1:4" ht="15" x14ac:dyDescent="0.2">
      <c r="A3" s="6" t="s">
        <v>10</v>
      </c>
      <c r="B3" s="7"/>
      <c r="C3" s="8"/>
    </row>
    <row r="4" spans="1:4" ht="17.25" customHeight="1" x14ac:dyDescent="0.2">
      <c r="A4" s="9"/>
      <c r="B4" s="7" t="s">
        <v>11</v>
      </c>
      <c r="C4" s="10">
        <v>250</v>
      </c>
    </row>
    <row r="5" spans="1:4" ht="18.75" customHeight="1" thickBot="1" x14ac:dyDescent="0.25">
      <c r="A5" s="9"/>
      <c r="B5" s="7" t="s">
        <v>95</v>
      </c>
      <c r="C5" s="13">
        <v>490</v>
      </c>
    </row>
    <row r="6" spans="1:4" x14ac:dyDescent="0.2">
      <c r="A6" s="75" t="s">
        <v>12</v>
      </c>
      <c r="B6" s="76"/>
      <c r="C6" s="14">
        <f>SUM(C4:C5)</f>
        <v>740</v>
      </c>
    </row>
    <row r="7" spans="1:4" ht="7.5" customHeight="1" thickBot="1" x14ac:dyDescent="0.25">
      <c r="A7" s="15"/>
      <c r="B7" s="16"/>
      <c r="C7" s="17"/>
    </row>
    <row r="8" spans="1:4" ht="16" thickTop="1" x14ac:dyDescent="0.2">
      <c r="A8" s="26" t="s">
        <v>0</v>
      </c>
      <c r="B8" s="27"/>
      <c r="C8" s="28">
        <f>C6</f>
        <v>740</v>
      </c>
    </row>
    <row r="9" spans="1:4" x14ac:dyDescent="0.2">
      <c r="A9" s="77" t="s">
        <v>13</v>
      </c>
      <c r="B9" s="77"/>
      <c r="C9" s="77"/>
    </row>
    <row r="10" spans="1:4" ht="15" customHeight="1" x14ac:dyDescent="0.2">
      <c r="A10" s="18" t="s">
        <v>15</v>
      </c>
      <c r="B10" s="78" t="s">
        <v>16</v>
      </c>
      <c r="C10" s="79"/>
    </row>
    <row r="11" spans="1:4" ht="15" customHeight="1" x14ac:dyDescent="0.2">
      <c r="A11" s="19" t="s">
        <v>22</v>
      </c>
      <c r="B11" s="70" t="s">
        <v>17</v>
      </c>
      <c r="C11" s="71"/>
    </row>
    <row r="12" spans="1:4" ht="15" customHeight="1" x14ac:dyDescent="0.2">
      <c r="A12" s="19" t="s">
        <v>23</v>
      </c>
      <c r="B12" s="70" t="s">
        <v>18</v>
      </c>
      <c r="C12" s="71"/>
    </row>
    <row r="13" spans="1:4" ht="15" x14ac:dyDescent="0.2">
      <c r="A13" s="19" t="s">
        <v>24</v>
      </c>
      <c r="B13" s="70" t="s">
        <v>48</v>
      </c>
      <c r="C13" s="71"/>
    </row>
    <row r="14" spans="1:4" ht="15" customHeight="1" x14ac:dyDescent="0.2">
      <c r="A14" s="19" t="s">
        <v>25</v>
      </c>
      <c r="B14" s="70">
        <v>401213402</v>
      </c>
      <c r="C14" s="71"/>
    </row>
    <row r="15" spans="1:4" ht="15" x14ac:dyDescent="0.2">
      <c r="A15" s="19" t="s">
        <v>26</v>
      </c>
      <c r="B15" s="70" t="s">
        <v>19</v>
      </c>
      <c r="C15" s="71"/>
    </row>
    <row r="16" spans="1:4" ht="12.75" customHeight="1" x14ac:dyDescent="0.2">
      <c r="A16" s="19" t="s">
        <v>27</v>
      </c>
      <c r="B16" s="70" t="s">
        <v>20</v>
      </c>
      <c r="C16" s="71"/>
    </row>
    <row r="17" spans="1:3" ht="26.25" customHeight="1" x14ac:dyDescent="0.2">
      <c r="A17" s="19" t="s">
        <v>28</v>
      </c>
      <c r="B17" s="70" t="s">
        <v>21</v>
      </c>
      <c r="C17" s="71"/>
    </row>
    <row r="18" spans="1:3" ht="15" customHeight="1" x14ac:dyDescent="0.2">
      <c r="A18" s="19" t="s">
        <v>29</v>
      </c>
      <c r="B18" s="21" t="s">
        <v>30</v>
      </c>
      <c r="C18" s="20"/>
    </row>
    <row r="19" spans="1:3" x14ac:dyDescent="0.2">
      <c r="A19" s="91" t="s">
        <v>14</v>
      </c>
      <c r="B19" s="92"/>
      <c r="C19" s="93"/>
    </row>
    <row r="21" spans="1:3" x14ac:dyDescent="0.2">
      <c r="A21" s="30" t="s">
        <v>45</v>
      </c>
      <c r="B21" s="30"/>
      <c r="C21" s="30"/>
    </row>
    <row r="22" spans="1:3" x14ac:dyDescent="0.2">
      <c r="A22" s="30"/>
      <c r="B22" s="31" t="s">
        <v>39</v>
      </c>
      <c r="C22" s="31" t="s">
        <v>40</v>
      </c>
    </row>
    <row r="23" spans="1:3" x14ac:dyDescent="0.2">
      <c r="A23" s="30" t="s">
        <v>41</v>
      </c>
      <c r="B23" s="31">
        <v>130</v>
      </c>
      <c r="C23" s="31">
        <v>250</v>
      </c>
    </row>
    <row r="24" spans="1:3" x14ac:dyDescent="0.2">
      <c r="A24" s="30" t="s">
        <v>42</v>
      </c>
      <c r="B24" s="31">
        <v>490</v>
      </c>
      <c r="C24" s="31">
        <v>250</v>
      </c>
    </row>
    <row r="25" spans="1:3" x14ac:dyDescent="0.2">
      <c r="A25" s="30" t="s">
        <v>43</v>
      </c>
      <c r="B25" s="31">
        <v>2845</v>
      </c>
      <c r="C25" s="31">
        <v>0</v>
      </c>
    </row>
    <row r="26" spans="1:3" x14ac:dyDescent="0.2">
      <c r="A26" s="30" t="s">
        <v>44</v>
      </c>
      <c r="B26" s="31">
        <v>75</v>
      </c>
      <c r="C26" s="31">
        <v>0</v>
      </c>
    </row>
    <row r="27" spans="1:3" x14ac:dyDescent="0.2">
      <c r="B27" s="29"/>
      <c r="C27" s="29"/>
    </row>
  </sheetData>
  <mergeCells count="12">
    <mergeCell ref="A19:C19"/>
    <mergeCell ref="B12:C12"/>
    <mergeCell ref="B13:C13"/>
    <mergeCell ref="B14:C14"/>
    <mergeCell ref="B15:C15"/>
    <mergeCell ref="B16:C16"/>
    <mergeCell ref="B17:C17"/>
    <mergeCell ref="A1:C1"/>
    <mergeCell ref="A6:B6"/>
    <mergeCell ref="A9:C9"/>
    <mergeCell ref="B10:C10"/>
    <mergeCell ref="B11:C11"/>
  </mergeCells>
  <phoneticPr fontId="13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35301-47E9-475E-9383-D5C80D96D7DD}">
  <dimension ref="A1:G45"/>
  <sheetViews>
    <sheetView zoomScale="115" zoomScaleNormal="115" workbookViewId="0">
      <selection activeCell="A3" sqref="A3:C29"/>
    </sheetView>
  </sheetViews>
  <sheetFormatPr baseColWidth="10" defaultColWidth="9.1640625" defaultRowHeight="14" x14ac:dyDescent="0.2"/>
  <cols>
    <col min="1" max="1" width="19.5" style="5" customWidth="1"/>
    <col min="2" max="2" width="28.1640625" style="5" customWidth="1"/>
    <col min="3" max="3" width="13.83203125" style="5" bestFit="1" customWidth="1"/>
    <col min="4" max="16384" width="9.1640625" style="5"/>
  </cols>
  <sheetData>
    <row r="1" spans="1:4" ht="15.75" customHeight="1" x14ac:dyDescent="0.2">
      <c r="A1" s="72"/>
      <c r="B1" s="73"/>
      <c r="C1" s="74"/>
    </row>
    <row r="2" spans="1:4" ht="21.75" hidden="1" customHeight="1" x14ac:dyDescent="0.2">
      <c r="A2" s="82" t="s">
        <v>68</v>
      </c>
      <c r="B2" s="83"/>
      <c r="C2" s="84"/>
    </row>
    <row r="3" spans="1:4" ht="20.25" customHeight="1" x14ac:dyDescent="0.2">
      <c r="A3" s="1" t="s">
        <v>1</v>
      </c>
      <c r="B3" s="2" t="s">
        <v>2</v>
      </c>
      <c r="C3" s="3" t="s">
        <v>3</v>
      </c>
      <c r="D3" s="4">
        <v>1.4E-2</v>
      </c>
    </row>
    <row r="4" spans="1:4" ht="14.25" customHeight="1" x14ac:dyDescent="0.2">
      <c r="A4" s="6" t="s">
        <v>4</v>
      </c>
      <c r="B4" s="7"/>
      <c r="C4" s="8"/>
    </row>
    <row r="5" spans="1:4" ht="16.5" customHeight="1" x14ac:dyDescent="0.2">
      <c r="A5" s="9"/>
      <c r="B5" s="7" t="s">
        <v>5</v>
      </c>
      <c r="C5" s="10">
        <v>2000</v>
      </c>
    </row>
    <row r="6" spans="1:4" ht="13.5" customHeight="1" x14ac:dyDescent="0.2">
      <c r="A6" s="9"/>
      <c r="B6" s="7" t="s">
        <v>93</v>
      </c>
      <c r="C6" s="10">
        <v>0</v>
      </c>
    </row>
    <row r="7" spans="1:4" ht="15" customHeight="1" x14ac:dyDescent="0.2">
      <c r="A7" s="9"/>
      <c r="B7" s="7"/>
      <c r="C7" s="10">
        <v>0</v>
      </c>
    </row>
    <row r="8" spans="1:4" ht="15.75" customHeight="1" thickBot="1" x14ac:dyDescent="0.25">
      <c r="A8" s="11"/>
      <c r="B8" s="12" t="s">
        <v>8</v>
      </c>
      <c r="C8" s="13">
        <f>(C5+C6+C7)*D3</f>
        <v>28</v>
      </c>
    </row>
    <row r="9" spans="1:4" ht="16.5" customHeight="1" x14ac:dyDescent="0.2">
      <c r="A9" s="75" t="s">
        <v>9</v>
      </c>
      <c r="B9" s="76"/>
      <c r="C9" s="14">
        <f>SUM(C5:C8)</f>
        <v>2028</v>
      </c>
    </row>
    <row r="10" spans="1:4" x14ac:dyDescent="0.2">
      <c r="A10" s="9"/>
      <c r="B10" s="7"/>
      <c r="C10" s="8"/>
    </row>
    <row r="11" spans="1:4" x14ac:dyDescent="0.2">
      <c r="A11" s="32" t="s">
        <v>46</v>
      </c>
      <c r="B11" s="7"/>
      <c r="C11" s="8"/>
    </row>
    <row r="12" spans="1:4" x14ac:dyDescent="0.2">
      <c r="A12" s="9"/>
      <c r="B12" s="57" t="s">
        <v>51</v>
      </c>
      <c r="C12" s="10">
        <v>0</v>
      </c>
    </row>
    <row r="13" spans="1:4" ht="13.5" customHeight="1" x14ac:dyDescent="0.2">
      <c r="A13" s="9"/>
      <c r="B13" s="7" t="s">
        <v>11</v>
      </c>
      <c r="C13" s="10">
        <v>0</v>
      </c>
    </row>
    <row r="14" spans="1:4" ht="13.5" customHeight="1" x14ac:dyDescent="0.2">
      <c r="A14" s="9"/>
      <c r="B14" s="7" t="s">
        <v>53</v>
      </c>
      <c r="C14" s="10">
        <v>0</v>
      </c>
    </row>
    <row r="15" spans="1:4" ht="13.5" customHeight="1" thickBot="1" x14ac:dyDescent="0.25">
      <c r="A15" s="9"/>
      <c r="B15" s="58" t="s">
        <v>94</v>
      </c>
      <c r="C15" s="13">
        <v>0</v>
      </c>
    </row>
    <row r="16" spans="1:4" x14ac:dyDescent="0.2">
      <c r="A16" s="75" t="s">
        <v>12</v>
      </c>
      <c r="B16" s="76"/>
      <c r="C16" s="14">
        <f>SUM(C12:C15)</f>
        <v>0</v>
      </c>
    </row>
    <row r="17" spans="1:3" ht="16" thickBot="1" x14ac:dyDescent="0.25">
      <c r="A17" s="15" t="s">
        <v>57</v>
      </c>
      <c r="B17" s="16"/>
      <c r="C17" s="52">
        <v>0</v>
      </c>
    </row>
    <row r="18" spans="1:3" ht="16" thickTop="1" x14ac:dyDescent="0.2">
      <c r="A18" s="6" t="s">
        <v>0</v>
      </c>
      <c r="B18" s="7"/>
      <c r="C18" s="53">
        <f>C9+C16-C17</f>
        <v>2028</v>
      </c>
    </row>
    <row r="19" spans="1:3" x14ac:dyDescent="0.2">
      <c r="A19" s="77" t="s">
        <v>13</v>
      </c>
      <c r="B19" s="77"/>
      <c r="C19" s="77"/>
    </row>
    <row r="20" spans="1:3" ht="15" customHeight="1" x14ac:dyDescent="0.2">
      <c r="A20" s="18" t="s">
        <v>15</v>
      </c>
      <c r="B20" s="78" t="s">
        <v>16</v>
      </c>
      <c r="C20" s="79"/>
    </row>
    <row r="21" spans="1:3" ht="15" customHeight="1" x14ac:dyDescent="0.2">
      <c r="A21" s="19" t="s">
        <v>22</v>
      </c>
      <c r="B21" s="70" t="s">
        <v>17</v>
      </c>
      <c r="C21" s="71"/>
    </row>
    <row r="22" spans="1:3" ht="15" customHeight="1" x14ac:dyDescent="0.2">
      <c r="A22" s="19" t="s">
        <v>23</v>
      </c>
      <c r="B22" s="70" t="s">
        <v>18</v>
      </c>
      <c r="C22" s="71"/>
    </row>
    <row r="23" spans="1:3" ht="15" x14ac:dyDescent="0.2">
      <c r="A23" s="19" t="s">
        <v>24</v>
      </c>
      <c r="B23" s="80" t="s">
        <v>47</v>
      </c>
      <c r="C23" s="81"/>
    </row>
    <row r="24" spans="1:3" ht="15" customHeight="1" x14ac:dyDescent="0.2">
      <c r="A24" s="19" t="s">
        <v>25</v>
      </c>
      <c r="B24" s="70">
        <v>401213402</v>
      </c>
      <c r="C24" s="71"/>
    </row>
    <row r="25" spans="1:3" ht="15" x14ac:dyDescent="0.2">
      <c r="A25" s="19" t="s">
        <v>26</v>
      </c>
      <c r="B25" s="70" t="s">
        <v>19</v>
      </c>
      <c r="C25" s="71"/>
    </row>
    <row r="26" spans="1:3" ht="12.75" customHeight="1" x14ac:dyDescent="0.2">
      <c r="A26" s="19" t="s">
        <v>27</v>
      </c>
      <c r="B26" s="70" t="s">
        <v>20</v>
      </c>
      <c r="C26" s="71"/>
    </row>
    <row r="27" spans="1:3" ht="26.25" customHeight="1" x14ac:dyDescent="0.2">
      <c r="A27" s="19" t="s">
        <v>28</v>
      </c>
      <c r="B27" s="70" t="s">
        <v>21</v>
      </c>
      <c r="C27" s="71"/>
    </row>
    <row r="28" spans="1:3" ht="15" customHeight="1" x14ac:dyDescent="0.2">
      <c r="A28" s="19" t="s">
        <v>29</v>
      </c>
      <c r="B28" s="21" t="s">
        <v>30</v>
      </c>
      <c r="C28" s="20"/>
    </row>
    <row r="29" spans="1:3" x14ac:dyDescent="0.2">
      <c r="A29" s="91" t="s">
        <v>14</v>
      </c>
      <c r="B29" s="92"/>
      <c r="C29" s="93"/>
    </row>
    <row r="31" spans="1:3" x14ac:dyDescent="0.2">
      <c r="A31" s="88" t="s">
        <v>36</v>
      </c>
      <c r="B31" s="88"/>
      <c r="C31" s="88"/>
    </row>
    <row r="32" spans="1:3" ht="16" x14ac:dyDescent="0.2">
      <c r="A32" s="86" t="s">
        <v>31</v>
      </c>
      <c r="B32" s="87"/>
      <c r="C32" s="22" t="s">
        <v>3</v>
      </c>
    </row>
    <row r="33" spans="1:7" ht="15" x14ac:dyDescent="0.2">
      <c r="A33" s="94" t="s">
        <v>32</v>
      </c>
      <c r="B33" s="94"/>
      <c r="C33" s="23">
        <v>29710</v>
      </c>
    </row>
    <row r="34" spans="1:7" ht="15" x14ac:dyDescent="0.2">
      <c r="A34" s="94" t="s">
        <v>33</v>
      </c>
      <c r="B34" s="94"/>
      <c r="C34" s="62">
        <v>0</v>
      </c>
    </row>
    <row r="35" spans="1:7" ht="15" x14ac:dyDescent="0.2">
      <c r="A35" s="89" t="s">
        <v>89</v>
      </c>
      <c r="B35" s="90"/>
      <c r="C35" s="23">
        <v>0</v>
      </c>
    </row>
    <row r="36" spans="1:7" ht="15" x14ac:dyDescent="0.2">
      <c r="A36" s="94" t="s">
        <v>34</v>
      </c>
      <c r="B36" s="94"/>
      <c r="C36" s="23">
        <v>2000</v>
      </c>
      <c r="D36" s="59" t="s">
        <v>88</v>
      </c>
    </row>
    <row r="37" spans="1:7" ht="16" thickBot="1" x14ac:dyDescent="0.25">
      <c r="A37" s="95" t="s">
        <v>52</v>
      </c>
      <c r="B37" s="95"/>
      <c r="C37" s="25">
        <v>0</v>
      </c>
    </row>
    <row r="38" spans="1:7" ht="30" customHeight="1" thickTop="1" x14ac:dyDescent="0.2">
      <c r="A38" s="85" t="s">
        <v>35</v>
      </c>
      <c r="B38" s="85"/>
      <c r="C38" s="24">
        <f>SUM(C33:C37)</f>
        <v>31710</v>
      </c>
    </row>
    <row r="40" spans="1:7" x14ac:dyDescent="0.2">
      <c r="A40" s="63" t="s">
        <v>79</v>
      </c>
      <c r="B40" s="63" t="s">
        <v>80</v>
      </c>
      <c r="C40" s="63"/>
    </row>
    <row r="41" spans="1:7" x14ac:dyDescent="0.2">
      <c r="A41" s="63"/>
      <c r="B41" s="64">
        <v>550</v>
      </c>
      <c r="C41" s="63" t="s">
        <v>40</v>
      </c>
      <c r="E41" s="5" t="s">
        <v>64</v>
      </c>
      <c r="F41" s="54">
        <v>29710</v>
      </c>
      <c r="G41" s="54"/>
    </row>
    <row r="42" spans="1:7" x14ac:dyDescent="0.2">
      <c r="A42" s="63"/>
      <c r="B42" s="64" t="s">
        <v>81</v>
      </c>
      <c r="C42" s="63"/>
      <c r="E42" s="5" t="s">
        <v>63</v>
      </c>
      <c r="F42" s="54">
        <v>2</v>
      </c>
      <c r="G42" s="54">
        <v>18455</v>
      </c>
    </row>
    <row r="43" spans="1:7" x14ac:dyDescent="0.2">
      <c r="A43" s="63"/>
      <c r="B43" s="64">
        <v>1000</v>
      </c>
      <c r="C43" s="63" t="s">
        <v>40</v>
      </c>
      <c r="E43" s="5" t="s">
        <v>64</v>
      </c>
      <c r="F43" s="54"/>
      <c r="G43" s="54">
        <v>2000</v>
      </c>
    </row>
    <row r="44" spans="1:7" x14ac:dyDescent="0.2">
      <c r="A44" s="63"/>
      <c r="B44" s="64">
        <v>750</v>
      </c>
      <c r="C44" s="63" t="s">
        <v>87</v>
      </c>
      <c r="E44" s="55" t="s">
        <v>65</v>
      </c>
      <c r="F44" s="56"/>
      <c r="G44" s="56">
        <v>4500</v>
      </c>
    </row>
    <row r="45" spans="1:7" x14ac:dyDescent="0.2">
      <c r="E45" s="5" t="s">
        <v>66</v>
      </c>
      <c r="G45" s="5">
        <v>24950</v>
      </c>
    </row>
  </sheetData>
  <mergeCells count="22">
    <mergeCell ref="A38:B38"/>
    <mergeCell ref="A32:B32"/>
    <mergeCell ref="A31:C31"/>
    <mergeCell ref="A35:B35"/>
    <mergeCell ref="A29:C29"/>
    <mergeCell ref="A33:B33"/>
    <mergeCell ref="A34:B34"/>
    <mergeCell ref="A36:B36"/>
    <mergeCell ref="A37:B37"/>
    <mergeCell ref="B27:C27"/>
    <mergeCell ref="A1:C1"/>
    <mergeCell ref="A9:B9"/>
    <mergeCell ref="A16:B16"/>
    <mergeCell ref="A19:C19"/>
    <mergeCell ref="B20:C20"/>
    <mergeCell ref="B21:C21"/>
    <mergeCell ref="B22:C22"/>
    <mergeCell ref="B23:C23"/>
    <mergeCell ref="B24:C24"/>
    <mergeCell ref="B25:C25"/>
    <mergeCell ref="B26:C26"/>
    <mergeCell ref="A2:C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8C16-E706-4D91-BDA5-902033180A66}">
  <dimension ref="A1:L51"/>
  <sheetViews>
    <sheetView zoomScale="115" zoomScaleNormal="115" workbookViewId="0">
      <selection activeCell="A29" sqref="A29:C51"/>
    </sheetView>
  </sheetViews>
  <sheetFormatPr baseColWidth="10" defaultColWidth="9.1640625" defaultRowHeight="14" x14ac:dyDescent="0.2"/>
  <cols>
    <col min="1" max="1" width="19.5" style="5" customWidth="1"/>
    <col min="2" max="2" width="26.5" style="5" customWidth="1"/>
    <col min="3" max="3" width="17" style="5" customWidth="1"/>
    <col min="4" max="4" width="9.1640625" style="5"/>
    <col min="5" max="6" width="23" style="5" bestFit="1" customWidth="1"/>
    <col min="7" max="7" width="8.5" style="5" bestFit="1" customWidth="1"/>
    <col min="8" max="8" width="9.1640625" style="5"/>
    <col min="9" max="9" width="9.83203125" style="5" bestFit="1" customWidth="1"/>
    <col min="10" max="10" width="9.1640625" style="5"/>
    <col min="11" max="12" width="9.83203125" style="5" bestFit="1" customWidth="1"/>
    <col min="13" max="16384" width="9.1640625" style="5"/>
  </cols>
  <sheetData>
    <row r="1" spans="1:12" x14ac:dyDescent="0.2">
      <c r="A1" s="116" t="s">
        <v>49</v>
      </c>
      <c r="B1" s="116"/>
      <c r="C1" s="116"/>
    </row>
    <row r="2" spans="1:12" ht="20.25" customHeight="1" x14ac:dyDescent="0.2">
      <c r="A2" s="1" t="s">
        <v>1</v>
      </c>
      <c r="B2" s="2" t="s">
        <v>2</v>
      </c>
      <c r="C2" s="3" t="s">
        <v>3</v>
      </c>
      <c r="D2" s="4">
        <v>1.4E-2</v>
      </c>
      <c r="F2" s="63" t="s">
        <v>90</v>
      </c>
      <c r="G2" s="65">
        <v>50</v>
      </c>
    </row>
    <row r="3" spans="1:12" ht="14.25" customHeight="1" x14ac:dyDescent="0.2">
      <c r="A3" s="6" t="s">
        <v>4</v>
      </c>
      <c r="B3" s="7"/>
      <c r="C3" s="8"/>
      <c r="F3" s="63" t="s">
        <v>91</v>
      </c>
      <c r="G3" s="65">
        <v>350</v>
      </c>
      <c r="I3" s="50"/>
      <c r="K3" s="50"/>
      <c r="L3" s="51"/>
    </row>
    <row r="4" spans="1:12" ht="16.5" customHeight="1" x14ac:dyDescent="0.2">
      <c r="A4" s="9"/>
      <c r="B4" s="7" t="s">
        <v>5</v>
      </c>
      <c r="C4" s="10">
        <v>400</v>
      </c>
      <c r="D4" s="5">
        <v>700</v>
      </c>
      <c r="E4" s="5" t="s">
        <v>58</v>
      </c>
      <c r="F4" s="5">
        <v>200</v>
      </c>
    </row>
    <row r="5" spans="1:12" ht="13.5" customHeight="1" x14ac:dyDescent="0.2">
      <c r="A5" s="9"/>
      <c r="B5" s="7" t="s">
        <v>6</v>
      </c>
      <c r="C5" s="10">
        <v>0</v>
      </c>
    </row>
    <row r="6" spans="1:12" ht="15" customHeight="1" x14ac:dyDescent="0.2">
      <c r="A6" s="9"/>
      <c r="B6" s="7" t="s">
        <v>7</v>
      </c>
      <c r="C6" s="10">
        <v>0</v>
      </c>
    </row>
    <row r="7" spans="1:12" ht="15.75" customHeight="1" thickBot="1" x14ac:dyDescent="0.25">
      <c r="A7" s="11"/>
      <c r="B7" s="12" t="s">
        <v>8</v>
      </c>
      <c r="C7" s="13">
        <f>(C4+C5+C6)*D2</f>
        <v>5.6000000000000005</v>
      </c>
    </row>
    <row r="8" spans="1:12" ht="16.5" customHeight="1" x14ac:dyDescent="0.2">
      <c r="A8" s="75" t="s">
        <v>9</v>
      </c>
      <c r="B8" s="76"/>
      <c r="C8" s="14">
        <f>SUM(C4:C7)</f>
        <v>405.6</v>
      </c>
    </row>
    <row r="9" spans="1:12" x14ac:dyDescent="0.2">
      <c r="A9" s="9"/>
      <c r="B9" s="7"/>
      <c r="C9" s="8"/>
    </row>
    <row r="10" spans="1:12" ht="15" x14ac:dyDescent="0.2">
      <c r="A10" s="48" t="s">
        <v>11</v>
      </c>
      <c r="B10" s="7"/>
      <c r="C10" s="8"/>
    </row>
    <row r="11" spans="1:12" ht="15" x14ac:dyDescent="0.2">
      <c r="A11" s="48"/>
      <c r="B11" s="7" t="s">
        <v>59</v>
      </c>
      <c r="C11" s="8">
        <v>0</v>
      </c>
    </row>
    <row r="12" spans="1:12" ht="13.5" customHeight="1" thickBot="1" x14ac:dyDescent="0.25">
      <c r="A12" s="9"/>
      <c r="B12" s="7" t="s">
        <v>11</v>
      </c>
      <c r="C12" s="13">
        <v>450</v>
      </c>
      <c r="D12" s="5" t="s">
        <v>60</v>
      </c>
      <c r="E12" s="5" t="s">
        <v>61</v>
      </c>
    </row>
    <row r="13" spans="1:12" x14ac:dyDescent="0.2">
      <c r="A13" s="75" t="s">
        <v>12</v>
      </c>
      <c r="B13" s="76"/>
      <c r="C13" s="14">
        <f>SUM(C11:C12)</f>
        <v>450</v>
      </c>
    </row>
    <row r="14" spans="1:12" ht="7.5" customHeight="1" thickBot="1" x14ac:dyDescent="0.25">
      <c r="A14" s="15"/>
      <c r="B14" s="16"/>
      <c r="C14" s="17"/>
    </row>
    <row r="15" spans="1:12" ht="16" thickTop="1" x14ac:dyDescent="0.2">
      <c r="A15" s="6" t="s">
        <v>0</v>
      </c>
      <c r="B15" s="7"/>
      <c r="C15" s="14">
        <f>C8+C13</f>
        <v>855.6</v>
      </c>
    </row>
    <row r="16" spans="1:12" x14ac:dyDescent="0.2">
      <c r="A16" s="77" t="s">
        <v>13</v>
      </c>
      <c r="B16" s="77"/>
      <c r="C16" s="77"/>
    </row>
    <row r="17" spans="1:3" ht="15" customHeight="1" x14ac:dyDescent="0.2">
      <c r="A17" s="18" t="s">
        <v>15</v>
      </c>
      <c r="B17" s="78" t="s">
        <v>16</v>
      </c>
      <c r="C17" s="79"/>
    </row>
    <row r="18" spans="1:3" ht="15" customHeight="1" x14ac:dyDescent="0.2">
      <c r="A18" s="19" t="s">
        <v>22</v>
      </c>
      <c r="B18" s="70" t="s">
        <v>17</v>
      </c>
      <c r="C18" s="71"/>
    </row>
    <row r="19" spans="1:3" ht="15" customHeight="1" x14ac:dyDescent="0.2">
      <c r="A19" s="19" t="s">
        <v>23</v>
      </c>
      <c r="B19" s="70" t="s">
        <v>18</v>
      </c>
      <c r="C19" s="71"/>
    </row>
    <row r="20" spans="1:3" ht="15" x14ac:dyDescent="0.2">
      <c r="A20" s="19" t="s">
        <v>24</v>
      </c>
      <c r="B20" s="80" t="s">
        <v>47</v>
      </c>
      <c r="C20" s="81"/>
    </row>
    <row r="21" spans="1:3" ht="15" customHeight="1" x14ac:dyDescent="0.2">
      <c r="A21" s="19" t="s">
        <v>25</v>
      </c>
      <c r="B21" s="70">
        <v>401213402</v>
      </c>
      <c r="C21" s="71"/>
    </row>
    <row r="22" spans="1:3" ht="15" x14ac:dyDescent="0.2">
      <c r="A22" s="19" t="s">
        <v>26</v>
      </c>
      <c r="B22" s="70" t="s">
        <v>19</v>
      </c>
      <c r="C22" s="71"/>
    </row>
    <row r="23" spans="1:3" ht="12.75" customHeight="1" x14ac:dyDescent="0.2">
      <c r="A23" s="19" t="s">
        <v>27</v>
      </c>
      <c r="B23" s="70" t="s">
        <v>20</v>
      </c>
      <c r="C23" s="71"/>
    </row>
    <row r="24" spans="1:3" ht="26.25" customHeight="1" x14ac:dyDescent="0.2">
      <c r="A24" s="19" t="s">
        <v>28</v>
      </c>
      <c r="B24" s="70" t="s">
        <v>21</v>
      </c>
      <c r="C24" s="71"/>
    </row>
    <row r="25" spans="1:3" ht="15" customHeight="1" x14ac:dyDescent="0.2">
      <c r="A25" s="19" t="s">
        <v>29</v>
      </c>
      <c r="B25" s="21" t="s">
        <v>30</v>
      </c>
      <c r="C25" s="20"/>
    </row>
    <row r="26" spans="1:3" x14ac:dyDescent="0.2">
      <c r="A26" s="91" t="s">
        <v>14</v>
      </c>
      <c r="B26" s="92"/>
      <c r="C26" s="93"/>
    </row>
    <row r="29" spans="1:3" x14ac:dyDescent="0.2">
      <c r="A29" s="116" t="s">
        <v>54</v>
      </c>
      <c r="B29" s="116"/>
      <c r="C29" s="116"/>
    </row>
    <row r="30" spans="1:3" ht="15" x14ac:dyDescent="0.2">
      <c r="A30" s="1" t="s">
        <v>1</v>
      </c>
      <c r="B30" s="2" t="s">
        <v>2</v>
      </c>
      <c r="C30" s="3" t="s">
        <v>3</v>
      </c>
    </row>
    <row r="31" spans="1:3" ht="15" x14ac:dyDescent="0.2">
      <c r="A31" s="6" t="s">
        <v>55</v>
      </c>
      <c r="B31" s="7"/>
      <c r="C31" s="8"/>
    </row>
    <row r="32" spans="1:3" ht="15" x14ac:dyDescent="0.2">
      <c r="A32" s="9"/>
      <c r="B32" s="7" t="s">
        <v>5</v>
      </c>
      <c r="C32" s="10" t="s">
        <v>92</v>
      </c>
    </row>
    <row r="33" spans="1:3" ht="16" thickBot="1" x14ac:dyDescent="0.25">
      <c r="A33" s="11"/>
      <c r="B33" s="12" t="s">
        <v>8</v>
      </c>
      <c r="C33" s="13" t="e">
        <f>C32*D2</f>
        <v>#VALUE!</v>
      </c>
    </row>
    <row r="34" spans="1:3" x14ac:dyDescent="0.2">
      <c r="A34" s="75" t="s">
        <v>9</v>
      </c>
      <c r="B34" s="76"/>
      <c r="C34" s="14" t="e">
        <f>SUM(C32:C33)</f>
        <v>#VALUE!</v>
      </c>
    </row>
    <row r="35" spans="1:3" x14ac:dyDescent="0.2">
      <c r="A35" s="9"/>
      <c r="B35" s="7"/>
      <c r="C35" s="8"/>
    </row>
    <row r="36" spans="1:3" ht="15" x14ac:dyDescent="0.2">
      <c r="A36" s="48" t="s">
        <v>11</v>
      </c>
      <c r="B36" s="7"/>
      <c r="C36" s="8"/>
    </row>
    <row r="37" spans="1:3" ht="16" thickBot="1" x14ac:dyDescent="0.25">
      <c r="A37" s="9"/>
      <c r="B37" s="7" t="s">
        <v>11</v>
      </c>
      <c r="C37" s="13">
        <v>50</v>
      </c>
    </row>
    <row r="38" spans="1:3" x14ac:dyDescent="0.2">
      <c r="A38" s="75" t="s">
        <v>12</v>
      </c>
      <c r="B38" s="76"/>
      <c r="C38" s="14">
        <f>SUM(C37:C37)</f>
        <v>50</v>
      </c>
    </row>
    <row r="39" spans="1:3" ht="15" thickBot="1" x14ac:dyDescent="0.25">
      <c r="A39" s="15"/>
      <c r="B39" s="16"/>
      <c r="C39" s="17"/>
    </row>
    <row r="40" spans="1:3" ht="16" thickTop="1" x14ac:dyDescent="0.2">
      <c r="A40" s="6" t="s">
        <v>0</v>
      </c>
      <c r="B40" s="7"/>
      <c r="C40" s="14" t="e">
        <f>C34+C38</f>
        <v>#VALUE!</v>
      </c>
    </row>
    <row r="41" spans="1:3" x14ac:dyDescent="0.2">
      <c r="A41" s="77" t="s">
        <v>13</v>
      </c>
      <c r="B41" s="77"/>
      <c r="C41" s="77"/>
    </row>
    <row r="42" spans="1:3" ht="15" x14ac:dyDescent="0.2">
      <c r="A42" s="18" t="s">
        <v>15</v>
      </c>
      <c r="B42" s="78" t="s">
        <v>16</v>
      </c>
      <c r="C42" s="79"/>
    </row>
    <row r="43" spans="1:3" ht="15" x14ac:dyDescent="0.2">
      <c r="A43" s="19" t="s">
        <v>22</v>
      </c>
      <c r="B43" s="70" t="s">
        <v>17</v>
      </c>
      <c r="C43" s="71"/>
    </row>
    <row r="44" spans="1:3" ht="15" x14ac:dyDescent="0.2">
      <c r="A44" s="19" t="s">
        <v>23</v>
      </c>
      <c r="B44" s="70" t="s">
        <v>18</v>
      </c>
      <c r="C44" s="71"/>
    </row>
    <row r="45" spans="1:3" ht="15" x14ac:dyDescent="0.2">
      <c r="A45" s="19" t="s">
        <v>24</v>
      </c>
      <c r="B45" s="80" t="s">
        <v>47</v>
      </c>
      <c r="C45" s="81"/>
    </row>
    <row r="46" spans="1:3" ht="15" x14ac:dyDescent="0.2">
      <c r="A46" s="19" t="s">
        <v>25</v>
      </c>
      <c r="B46" s="70">
        <v>401213402</v>
      </c>
      <c r="C46" s="71"/>
    </row>
    <row r="47" spans="1:3" ht="15" x14ac:dyDescent="0.2">
      <c r="A47" s="19" t="s">
        <v>26</v>
      </c>
      <c r="B47" s="70" t="s">
        <v>19</v>
      </c>
      <c r="C47" s="71"/>
    </row>
    <row r="48" spans="1:3" ht="15" x14ac:dyDescent="0.2">
      <c r="A48" s="19" t="s">
        <v>27</v>
      </c>
      <c r="B48" s="70" t="s">
        <v>20</v>
      </c>
      <c r="C48" s="71"/>
    </row>
    <row r="49" spans="1:3" ht="15" x14ac:dyDescent="0.2">
      <c r="A49" s="19" t="s">
        <v>28</v>
      </c>
      <c r="B49" s="70" t="s">
        <v>21</v>
      </c>
      <c r="C49" s="71"/>
    </row>
    <row r="50" spans="1:3" ht="15" x14ac:dyDescent="0.2">
      <c r="A50" s="19" t="s">
        <v>29</v>
      </c>
      <c r="B50" s="21" t="s">
        <v>30</v>
      </c>
      <c r="C50" s="20"/>
    </row>
    <row r="51" spans="1:3" x14ac:dyDescent="0.2">
      <c r="A51" s="91" t="s">
        <v>14</v>
      </c>
      <c r="B51" s="92"/>
      <c r="C51" s="93"/>
    </row>
  </sheetData>
  <mergeCells count="26">
    <mergeCell ref="B24:C24"/>
    <mergeCell ref="A1:C1"/>
    <mergeCell ref="A8:B8"/>
    <mergeCell ref="A13:B13"/>
    <mergeCell ref="A16:C16"/>
    <mergeCell ref="B17:C17"/>
    <mergeCell ref="B18:C18"/>
    <mergeCell ref="B19:C19"/>
    <mergeCell ref="B20:C20"/>
    <mergeCell ref="B21:C21"/>
    <mergeCell ref="B22:C22"/>
    <mergeCell ref="B23:C23"/>
    <mergeCell ref="A26:C26"/>
    <mergeCell ref="A29:C29"/>
    <mergeCell ref="A34:B34"/>
    <mergeCell ref="A38:B38"/>
    <mergeCell ref="A41:C41"/>
    <mergeCell ref="B42:C42"/>
    <mergeCell ref="B48:C48"/>
    <mergeCell ref="B49:C49"/>
    <mergeCell ref="A51:C51"/>
    <mergeCell ref="B43:C43"/>
    <mergeCell ref="B44:C44"/>
    <mergeCell ref="B45:C45"/>
    <mergeCell ref="B46:C46"/>
    <mergeCell ref="B47:C4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485 visa</vt:lpstr>
      <vt:lpstr>ART</vt:lpstr>
      <vt:lpstr>AFP</vt:lpstr>
      <vt:lpstr>JRP</vt:lpstr>
      <vt:lpstr>500 visa</vt:lpstr>
      <vt:lpstr>TOURIST VISA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Mershe Ventura</dc:creator>
  <cp:lastModifiedBy>reyward jake gamol</cp:lastModifiedBy>
  <cp:lastPrinted>2025-08-27T05:59:06Z</cp:lastPrinted>
  <dcterms:created xsi:type="dcterms:W3CDTF">2025-04-23T23:10:04Z</dcterms:created>
  <dcterms:modified xsi:type="dcterms:W3CDTF">2026-07-04T16:00:31Z</dcterms:modified>
</cp:coreProperties>
</file>