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8322de3a7971b/Desktop/00001REYWARD FILES 2025/TO SEND SIR ROBIN/"/>
    </mc:Choice>
  </mc:AlternateContent>
  <xr:revisionPtr revIDLastSave="2" documentId="8_{A49AABA0-17ED-46E2-90FA-239E73FC3703}" xr6:coauthVersionLast="47" xr6:coauthVersionMax="47" xr10:uidLastSave="{CA8934D7-AF81-4BA4-9251-D7CE7726DFD2}"/>
  <bookViews>
    <workbookView xWindow="315" yWindow="0" windowWidth="14550" windowHeight="15480" xr2:uid="{00000000-000D-0000-FFFF-FFFF00000000}"/>
  </bookViews>
  <sheets>
    <sheet name="VISA AND PF FEE" sheetId="1" r:id="rId1"/>
    <sheet name="SKIILS ASSESSMENT FEEother fee" sheetId="30" r:id="rId2"/>
    <sheet name="INVOICE TEMPLATE" sheetId="31" r:id="rId3"/>
  </sheets>
  <definedNames>
    <definedName name="_xlnm.Print_Area" localSheetId="0">'VISA AND PF FEE'!$A$1:$G$28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1" l="1"/>
  <c r="C16" i="31"/>
  <c r="C25" i="31" s="1"/>
  <c r="C3" i="31"/>
  <c r="E15" i="30"/>
  <c r="E20" i="1"/>
  <c r="E13" i="30"/>
  <c r="E11" i="30"/>
  <c r="E10" i="30"/>
  <c r="E8" i="30"/>
  <c r="E7" i="30"/>
  <c r="E3" i="30"/>
  <c r="E4" i="30"/>
  <c r="E5" i="30"/>
  <c r="E2" i="30"/>
  <c r="E16" i="1"/>
  <c r="E17" i="1"/>
  <c r="E18" i="1"/>
  <c r="E19" i="1"/>
  <c r="E2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<sst xmlns="http://schemas.openxmlformats.org/spreadsheetml/2006/main" count="164" uniqueCount="131">
  <si>
    <t>Visa Subclass</t>
  </si>
  <si>
    <t>Engagement Fee</t>
  </si>
  <si>
    <t>Professional Fee</t>
  </si>
  <si>
    <t>IMMI Lodgement Fee</t>
  </si>
  <si>
    <t>Total Fee (Est.)</t>
  </si>
  <si>
    <t>IMMI Website Link</t>
  </si>
  <si>
    <t>Notes</t>
  </si>
  <si>
    <t>Skilled Independent (Subclass 189)</t>
  </si>
  <si>
    <t>AUD 3,300</t>
  </si>
  <si>
    <t>AUD 6,135</t>
  </si>
  <si>
    <t>https://immi.homeaffairs.gov.au/visas/getting-a-visa/visa-listing/skilled-independent-189</t>
  </si>
  <si>
    <t>Skilled Nominated (Subclass 190)</t>
  </si>
  <si>
    <t>https://immi.homeaffairs.gov.au/visas/getting-a-visa/visa-listing/skilled-nominated-190</t>
  </si>
  <si>
    <t>Skilled Work Regional (Subclass 491)</t>
  </si>
  <si>
    <t>AUD 3,000</t>
  </si>
  <si>
    <t>https://immi.homeaffairs.gov.au/visas/getting-a-visa/visa-listing/skilled-work-regional-provisional-491</t>
  </si>
  <si>
    <t>Employer Nomination Scheme (Subclass 186)</t>
  </si>
  <si>
    <t>AUD 2,200</t>
  </si>
  <si>
    <t>AUD 6,140.00</t>
  </si>
  <si>
    <t>https://immi.homeaffairs.gov.au/visas/getting-a-visa/visa-listing/employer-nomination-scheme-186</t>
  </si>
  <si>
    <t>Skilled Employer Sponsored Regional (Subclass 494)</t>
  </si>
  <si>
    <t>AUD 1,800</t>
  </si>
  <si>
    <t>https://immi.homeaffairs.gov.au/visas/getting-a-visa/visa-listing/skilled-employer-sponsored-regional-494</t>
  </si>
  <si>
    <t>Skills in Demand (Subclass 482) - Core Skills Stream</t>
  </si>
  <si>
    <t>https://immi.homeaffairs.gov.au/visas/getting-a-visa/visa-listing/skills-in-demand-visa-subclass-482</t>
  </si>
  <si>
    <t>Skills in Demand (Subclass 482) - Specialist Skills Stream</t>
  </si>
  <si>
    <t>Skills in Demand (Subclass 482) - Labour Agreement Stream</t>
  </si>
  <si>
    <t>Temporary Graduate Visa 485 (Graduate Work Stream)</t>
  </si>
  <si>
    <t>AUD 750</t>
  </si>
  <si>
    <t>AUD 2,300.00</t>
  </si>
  <si>
    <t>https://immi.homeaffairs.gov.au/visas/getting-a-visa/visa-listing/temporary-graduate-485</t>
  </si>
  <si>
    <t>Temporary Graduate Visa 485 (Post Study Work Stream)</t>
  </si>
  <si>
    <t>AUD 550</t>
  </si>
  <si>
    <t>Student Visa (Subclass 500) - Primary Applicant</t>
  </si>
  <si>
    <t>AUD 1,000</t>
  </si>
  <si>
    <t>https://immi.homeaffairs.gov.au/visas/getting-a-visa/visa-listing/student-500</t>
  </si>
  <si>
    <t>Student Visa (Subclass 500) - Dependent/Extension</t>
  </si>
  <si>
    <t>AUD 400</t>
  </si>
  <si>
    <t>https://immi.homeaffairs.gov.au/visas/getting-a-visa/visa-listing/visitor-600</t>
  </si>
  <si>
    <t>Visitor Visa (Subclass 600) - Tourist Stream Onshore</t>
  </si>
  <si>
    <t>Visitor Visa (Subclass 600) - Sponsored Family</t>
  </si>
  <si>
    <t>Child Visa (Subclass 101) - Offshore</t>
  </si>
  <si>
    <t>https://immi.homeaffairs.gov.au/visas/getting-a-visa/visa-listing/child-101</t>
  </si>
  <si>
    <t>Child Visa (Subclass 802) - Onshore</t>
  </si>
  <si>
    <t>https://immi.homeaffairs.gov.au/visas/getting-a-visa/visa-listing/child-802</t>
  </si>
  <si>
    <t>Partner Visa (Subclass 820/801) - Onshore</t>
  </si>
  <si>
    <t>AUD 2,500</t>
  </si>
  <si>
    <t>https://immi.homeaffairs.gov.au/visas/getting-a-visa/visa-listing/partner-onshore</t>
  </si>
  <si>
    <t>Prospective Marriage Visa (Subclass 300)</t>
  </si>
  <si>
    <t>https://immi.homeaffairs.gov.au/visas/getting-a-visa/visa-listing/prospective-marriage-300</t>
  </si>
  <si>
    <t>Training Visa (Subclass 407)</t>
  </si>
  <si>
    <t>AUD 1,200</t>
  </si>
  <si>
    <t>AUD 430.00</t>
  </si>
  <si>
    <t>https://immi.homeaffairs.gov.au/visas/getting-a-visa/visa-listing/training-407</t>
  </si>
  <si>
    <t>NOTES &amp; IMPORTANT INFORMATION</t>
  </si>
  <si>
    <t>• Visa fees are as per official IMMI website (immi.homeaffairs.gov.au) - fees may change, verify before lodgement</t>
  </si>
  <si>
    <t>• Additional IMMI Lodgement Fees may apply: Nomination fee ($330), Sponsorship fee ($420), Skilling Australians Fund levy ($1,200-$1,800)</t>
  </si>
  <si>
    <t>• Dependent applicant fees: 18+ years (approx. 50% of primary fee), Under 18 (approx. 25% of primary fee)</t>
  </si>
  <si>
    <t>• All fees are in AUD. Government visa fees are non-refundable once application is lodged.</t>
  </si>
  <si>
    <t>• Processing times vary by visa subclass - check immi.homeaffairs.gov.au for current timeframes</t>
  </si>
  <si>
    <t>• Health examinations, police clearances &amp; English tests may incur additional costs</t>
  </si>
  <si>
    <t>For Asean member countries visa fee is 2,050.00</t>
  </si>
  <si>
    <t>AUD 250.00</t>
  </si>
  <si>
    <t>AUD 630.00</t>
  </si>
  <si>
    <t>AUD 4,015.00</t>
  </si>
  <si>
    <t>AUD 11,710.00</t>
  </si>
  <si>
    <t>AUD 2,475.00</t>
  </si>
  <si>
    <t>AUD 4,040.00</t>
  </si>
  <si>
    <t>AUD 2,500.00</t>
  </si>
  <si>
    <t>SKILLS ASSESSMENT TYPE</t>
  </si>
  <si>
    <t>SERVICE FEE</t>
  </si>
  <si>
    <t xml:space="preserve">APPLICATION FEE </t>
  </si>
  <si>
    <t>Job Ready Program</t>
  </si>
  <si>
    <t>Total</t>
  </si>
  <si>
    <t>VETASSESS</t>
  </si>
  <si>
    <t>Provisional</t>
  </si>
  <si>
    <t>STAGE</t>
  </si>
  <si>
    <t>Full Skills assessment</t>
  </si>
  <si>
    <t>PSA</t>
  </si>
  <si>
    <t>JRE</t>
  </si>
  <si>
    <t>JRWA</t>
  </si>
  <si>
    <t>JRFA</t>
  </si>
  <si>
    <t>SUITABLE FOR 485 VISA</t>
  </si>
  <si>
    <t>ACECQA</t>
  </si>
  <si>
    <t>Suitable for 485 visa</t>
  </si>
  <si>
    <t>AITSL</t>
  </si>
  <si>
    <t>Suitable for general skill migration</t>
  </si>
  <si>
    <t xml:space="preserve">Bridging Visa </t>
  </si>
  <si>
    <t>AUD 100.0</t>
  </si>
  <si>
    <t>AUD 575.00</t>
  </si>
  <si>
    <t>https://immi.homeaffairs.gov.au/visas/getting-a-visa/visa-listing/bridging-visa-b-020</t>
  </si>
  <si>
    <t>EXPRESION OF INTEREST</t>
  </si>
  <si>
    <t>INVOICE</t>
  </si>
  <si>
    <t>Yale Migration and Education Consultants Pty Ltd.</t>
  </si>
  <si>
    <r>
      <t>ABN: 96 607 674 859</t>
    </r>
    <r>
      <rPr>
        <sz val="10"/>
        <color rgb="FF666666"/>
        <rFont val="Calibri"/>
        <family val="2"/>
      </rPr>
      <t> </t>
    </r>
  </si>
  <si>
    <t>Category</t>
  </si>
  <si>
    <t>Description</t>
  </si>
  <si>
    <t>Amount (AUD)</t>
  </si>
  <si>
    <t>SKILLS ASSESSMENT</t>
  </si>
  <si>
    <t>Dependent</t>
  </si>
  <si>
    <t>Child Dependent</t>
  </si>
  <si>
    <t>Surcharge (1.4%)</t>
  </si>
  <si>
    <t>Subtotal – Visa Fees</t>
  </si>
  <si>
    <t>Service</t>
  </si>
  <si>
    <t>AFP (2 Applicant/s @ $56)</t>
  </si>
  <si>
    <t>JRP PSA</t>
  </si>
  <si>
    <t>Job Ready Porgram Stage 3</t>
  </si>
  <si>
    <t>Subtotal – PF and SA Fees</t>
  </si>
  <si>
    <t>Total Amount Due</t>
  </si>
  <si>
    <t>Payment Details</t>
  </si>
  <si>
    <t>Details</t>
  </si>
  <si>
    <t>Information</t>
  </si>
  <si>
    <t>Payment Method:</t>
  </si>
  <si>
    <t>Cash, Cheque, or Direct Deposit</t>
  </si>
  <si>
    <t>Recipient Name:</t>
  </si>
  <si>
    <t>Yale Migration and Education Consultants</t>
  </si>
  <si>
    <t>BSB:</t>
  </si>
  <si>
    <t>BSB-014286</t>
  </si>
  <si>
    <t>Account Number:</t>
  </si>
  <si>
    <t>Bank:</t>
  </si>
  <si>
    <t>ANZ</t>
  </si>
  <si>
    <t>SWIFT Code:</t>
  </si>
  <si>
    <t>ANZBAU3M</t>
  </si>
  <si>
    <t>Branch Location:</t>
  </si>
  <si>
    <t>Shop 75, SunnyBank Hills Shopping Town, Cnr Calam &amp; Compton Rds, Sunnybank Hills, QLD 4109, Australia</t>
  </si>
  <si>
    <t xml:space="preserve">Reference: </t>
  </si>
  <si>
    <t>Use your name as a reference</t>
  </si>
  <si>
    <t>Note: Please send us a copy of your payment!</t>
  </si>
  <si>
    <t>Level 12/241 Adelaide St. Brisbane QLD, 4000</t>
  </si>
  <si>
    <t>Phone: +61 405 268 738     Email: info@yalemigration.com.au</t>
  </si>
  <si>
    <t xml:space="preserve">To: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</si>
</sst>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164" formatCode="_([$AUD]\ * #,##0.00_);_([$AUD]\ * \(#,##0.00\);_([$AUD]\ * &quot;-&quot;??_);_(@_)"/>
    <numFmt numFmtId="165" formatCode="&quot;AUD &quot;#,##0.00"/>
    <numFmt numFmtId="166" formatCode="_([$AUD]\ * #,##0.000_);_([$AUD]\ * \(#,##0.000\);_([$AUD]\ * &quot;-&quot;??_);_(@_)"/>
    <numFmt numFmtId="169" formatCode="_-[$$-C09]* #,##0.00_-;\-[$$-C09]* #,##0.00_-;_-[$$-C09]* &quot;-&quot;??_-;_-@_-"/>
    <numFmt numFmtId="170" formatCode="[$-C09]dd\-mmmm\-yyyy;@"/>
    <numFmt numFmtId="171" formatCode="&quot;$&quot;#,##0.00_);[Red]\(&quot;$&quot;#,##0.00\)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rgb="FF334155"/>
      <name val="Calibri"/>
      <family val="2"/>
      <scheme val="minor"/>
    </font>
    <font>
      <sz val="10"/>
      <color rgb="FF334155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</font>
    <font>
      <u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4" tint="-0.499984740745262"/>
      <name val="Calibri Light"/>
      <family val="2"/>
      <scheme val="major"/>
    </font>
    <font>
      <sz val="36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rgb="FF666666"/>
      <name val="Calibri"/>
      <family val="2"/>
    </font>
    <font>
      <sz val="9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rgb="FFFF0000"/>
      <name val="Calibri"/>
      <family val="2"/>
    </font>
    <font>
      <b/>
      <sz val="10"/>
      <color theme="0"/>
      <name val="Calibri"/>
      <family val="2"/>
    </font>
    <font>
      <i/>
      <sz val="10"/>
      <color theme="1"/>
      <name val="Calibri"/>
      <family val="2"/>
    </font>
    <font>
      <b/>
      <i/>
      <sz val="10"/>
      <color rgb="FFFF0000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 style="medium">
        <color rgb="FF1B365D"/>
      </left>
      <right/>
      <top/>
      <bottom/>
      <diagonal/>
    </border>
    <border>
      <left/>
      <right style="medium">
        <color rgb="FF1B365D"/>
      </right>
      <top/>
      <bottom/>
      <diagonal/>
    </border>
    <border>
      <left/>
      <right/>
      <top style="medium">
        <color rgb="FF1B365D"/>
      </top>
      <bottom/>
      <diagonal/>
    </border>
    <border>
      <left style="medium">
        <color rgb="FF1B365D"/>
      </left>
      <right/>
      <top style="medium">
        <color rgb="FF1B365D"/>
      </top>
      <bottom/>
      <diagonal/>
    </border>
    <border>
      <left/>
      <right style="medium">
        <color rgb="FF1B365D"/>
      </right>
      <top style="medium">
        <color rgb="FF1B365D"/>
      </top>
      <bottom/>
      <diagonal/>
    </border>
    <border>
      <left/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 style="thin">
        <color rgb="FFCBD5E0"/>
      </left>
      <right/>
      <top/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  <border>
      <left style="thin">
        <color rgb="FFCBD5E0"/>
      </left>
      <right/>
      <top style="thin">
        <color rgb="FFCBD5E0"/>
      </top>
      <bottom/>
      <diagonal/>
    </border>
    <border>
      <left style="medium">
        <color rgb="FF1B365D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1B365D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0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Fill="1"/>
    <xf numFmtId="0" fontId="7" fillId="0" borderId="10" xfId="0" applyFont="1" applyFill="1" applyBorder="1" applyAlignment="1">
      <alignment horizontal="center" vertical="center" wrapText="1"/>
    </xf>
    <xf numFmtId="164" fontId="7" fillId="0" borderId="10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164" fontId="7" fillId="0" borderId="13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12" fillId="0" borderId="9" xfId="0" applyFont="1" applyFill="1" applyBorder="1" applyAlignment="1">
      <alignment horizontal="left" vertical="center" wrapText="1" indent="1"/>
    </xf>
    <xf numFmtId="165" fontId="12" fillId="0" borderId="10" xfId="0" applyNumberFormat="1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14" fillId="0" borderId="10" xfId="1" applyFont="1" applyFill="1" applyBorder="1" applyAlignment="1">
      <alignment horizontal="left" vertical="center" wrapText="1"/>
    </xf>
    <xf numFmtId="0" fontId="12" fillId="0" borderId="12" xfId="0" applyFont="1" applyFill="1" applyBorder="1" applyAlignment="1">
      <alignment horizontal="left" vertical="center" wrapText="1" indent="1"/>
    </xf>
    <xf numFmtId="0" fontId="13" fillId="0" borderId="13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166" fontId="7" fillId="0" borderId="10" xfId="0" applyNumberFormat="1" applyFont="1" applyFill="1" applyBorder="1" applyAlignment="1">
      <alignment horizontal="center" vertical="center" wrapText="1"/>
    </xf>
    <xf numFmtId="44" fontId="0" fillId="0" borderId="0" xfId="2" applyFont="1" applyAlignment="1">
      <alignment horizontal="left"/>
    </xf>
    <xf numFmtId="0" fontId="11" fillId="3" borderId="0" xfId="0" applyFont="1" applyFill="1" applyAlignment="1">
      <alignment horizontal="center"/>
    </xf>
    <xf numFmtId="44" fontId="11" fillId="3" borderId="0" xfId="2" applyFont="1" applyFill="1" applyAlignment="1">
      <alignment horizontal="center"/>
    </xf>
    <xf numFmtId="0" fontId="1" fillId="0" borderId="18" xfId="0" applyFont="1" applyBorder="1"/>
    <xf numFmtId="44" fontId="0" fillId="0" borderId="19" xfId="2" applyFont="1" applyBorder="1"/>
    <xf numFmtId="0" fontId="0" fillId="0" borderId="19" xfId="0" applyBorder="1" applyAlignment="1">
      <alignment horizontal="left"/>
    </xf>
    <xf numFmtId="0" fontId="0" fillId="0" borderId="20" xfId="0" applyBorder="1" applyAlignment="1">
      <alignment wrapText="1"/>
    </xf>
    <xf numFmtId="0" fontId="0" fillId="0" borderId="21" xfId="0" applyBorder="1"/>
    <xf numFmtId="44" fontId="0" fillId="0" borderId="0" xfId="2" applyFont="1" applyBorder="1"/>
    <xf numFmtId="0" fontId="0" fillId="0" borderId="0" xfId="0" applyBorder="1" applyAlignment="1">
      <alignment horizontal="left"/>
    </xf>
    <xf numFmtId="0" fontId="0" fillId="0" borderId="22" xfId="0" applyBorder="1"/>
    <xf numFmtId="0" fontId="0" fillId="0" borderId="23" xfId="0" applyBorder="1"/>
    <xf numFmtId="44" fontId="0" fillId="0" borderId="24" xfId="2" applyFont="1" applyBorder="1"/>
    <xf numFmtId="0" fontId="0" fillId="0" borderId="24" xfId="0" applyBorder="1"/>
    <xf numFmtId="0" fontId="0" fillId="0" borderId="25" xfId="0" applyBorder="1"/>
    <xf numFmtId="0" fontId="0" fillId="0" borderId="20" xfId="0" applyBorder="1"/>
    <xf numFmtId="44" fontId="0" fillId="0" borderId="27" xfId="2" applyFont="1" applyBorder="1"/>
    <xf numFmtId="0" fontId="0" fillId="0" borderId="27" xfId="0" applyBorder="1"/>
    <xf numFmtId="0" fontId="0" fillId="0" borderId="28" xfId="0" applyBorder="1"/>
    <xf numFmtId="44" fontId="0" fillId="4" borderId="19" xfId="2" applyFont="1" applyFill="1" applyBorder="1" applyAlignment="1">
      <alignment horizontal="left"/>
    </xf>
    <xf numFmtId="44" fontId="0" fillId="4" borderId="0" xfId="2" applyFont="1" applyFill="1" applyBorder="1" applyAlignment="1"/>
    <xf numFmtId="44" fontId="0" fillId="4" borderId="24" xfId="2" applyFont="1" applyFill="1" applyBorder="1" applyAlignment="1">
      <alignment horizontal="left"/>
    </xf>
    <xf numFmtId="44" fontId="0" fillId="4" borderId="0" xfId="2" applyFont="1" applyFill="1" applyBorder="1" applyAlignment="1">
      <alignment horizontal="left"/>
    </xf>
    <xf numFmtId="44" fontId="0" fillId="4" borderId="27" xfId="2" applyFont="1" applyFill="1" applyBorder="1" applyAlignment="1">
      <alignment horizontal="left"/>
    </xf>
    <xf numFmtId="169" fontId="0" fillId="5" borderId="19" xfId="0" applyNumberFormat="1" applyFill="1" applyBorder="1" applyAlignment="1">
      <alignment horizontal="left"/>
    </xf>
    <xf numFmtId="169" fontId="0" fillId="5" borderId="0" xfId="0" applyNumberFormat="1" applyFill="1" applyBorder="1" applyAlignment="1">
      <alignment horizontal="left"/>
    </xf>
    <xf numFmtId="169" fontId="0" fillId="5" borderId="24" xfId="0" applyNumberFormat="1" applyFill="1" applyBorder="1"/>
    <xf numFmtId="169" fontId="0" fillId="5" borderId="19" xfId="0" applyNumberFormat="1" applyFill="1" applyBorder="1"/>
    <xf numFmtId="169" fontId="0" fillId="5" borderId="0" xfId="0" applyNumberFormat="1" applyFill="1" applyBorder="1"/>
    <xf numFmtId="0" fontId="0" fillId="5" borderId="24" xfId="0" applyFill="1" applyBorder="1"/>
    <xf numFmtId="44" fontId="0" fillId="5" borderId="19" xfId="0" applyNumberFormat="1" applyFill="1" applyBorder="1"/>
    <xf numFmtId="44" fontId="0" fillId="5" borderId="27" xfId="0" applyNumberFormat="1" applyFill="1" applyBorder="1"/>
    <xf numFmtId="0" fontId="1" fillId="0" borderId="26" xfId="0" applyFont="1" applyBorder="1"/>
    <xf numFmtId="0" fontId="16" fillId="0" borderId="0" xfId="0" applyFont="1" applyAlignment="1" applyProtection="1">
      <alignment horizontal="left" vertical="center" indent="1"/>
      <protection locked="0"/>
    </xf>
    <xf numFmtId="0" fontId="17" fillId="0" borderId="0" xfId="0" applyFont="1" applyAlignment="1">
      <alignment horizontal="right"/>
    </xf>
    <xf numFmtId="10" fontId="18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20" fillId="0" borderId="0" xfId="0" applyFont="1"/>
    <xf numFmtId="170" fontId="12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 applyProtection="1">
      <alignment horizontal="left" vertical="center" indent="1"/>
      <protection locked="0"/>
    </xf>
    <xf numFmtId="14" fontId="23" fillId="0" borderId="0" xfId="0" applyNumberFormat="1" applyFont="1" applyAlignment="1">
      <alignment horizontal="left" vertical="center" indent="1"/>
    </xf>
    <xf numFmtId="0" fontId="24" fillId="6" borderId="0" xfId="0" applyFont="1" applyFill="1" applyAlignment="1">
      <alignment horizontal="center" vertical="center"/>
    </xf>
    <xf numFmtId="0" fontId="6" fillId="2" borderId="29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8" fillId="2" borderId="30" xfId="0" applyFont="1" applyFill="1" applyBorder="1" applyAlignment="1">
      <alignment vertical="center" wrapText="1"/>
    </xf>
    <xf numFmtId="0" fontId="8" fillId="2" borderId="29" xfId="0" applyFont="1" applyFill="1" applyBorder="1" applyAlignment="1">
      <alignment vertical="center" wrapText="1"/>
    </xf>
    <xf numFmtId="8" fontId="8" fillId="2" borderId="22" xfId="0" applyNumberFormat="1" applyFont="1" applyFill="1" applyBorder="1" applyAlignment="1">
      <alignment horizontal="right" vertical="center" wrapText="1"/>
    </xf>
    <xf numFmtId="8" fontId="8" fillId="2" borderId="30" xfId="0" applyNumberFormat="1" applyFont="1" applyFill="1" applyBorder="1" applyAlignment="1">
      <alignment horizontal="right" vertical="center" wrapText="1"/>
    </xf>
    <xf numFmtId="0" fontId="8" fillId="2" borderId="31" xfId="0" applyFont="1" applyFill="1" applyBorder="1" applyAlignment="1">
      <alignment vertical="center" wrapText="1"/>
    </xf>
    <xf numFmtId="0" fontId="8" fillId="2" borderId="32" xfId="0" applyFont="1" applyFill="1" applyBorder="1" applyAlignment="1">
      <alignment vertical="center" wrapText="1"/>
    </xf>
    <xf numFmtId="171" fontId="8" fillId="2" borderId="33" xfId="0" applyNumberFormat="1" applyFont="1" applyFill="1" applyBorder="1" applyAlignment="1">
      <alignment horizontal="righ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2" borderId="35" xfId="0" applyFont="1" applyFill="1" applyBorder="1" applyAlignment="1">
      <alignment horizontal="left" vertical="center" wrapText="1"/>
    </xf>
    <xf numFmtId="8" fontId="6" fillId="2" borderId="30" xfId="0" applyNumberFormat="1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left" vertical="center" wrapText="1"/>
    </xf>
    <xf numFmtId="8" fontId="8" fillId="2" borderId="33" xfId="0" applyNumberFormat="1" applyFont="1" applyFill="1" applyBorder="1" applyAlignment="1">
      <alignment horizontal="right" vertical="center" wrapText="1"/>
    </xf>
    <xf numFmtId="0" fontId="6" fillId="2" borderId="36" xfId="0" applyFont="1" applyFill="1" applyBorder="1" applyAlignment="1">
      <alignment horizontal="left" vertical="center" wrapText="1"/>
    </xf>
    <xf numFmtId="0" fontId="6" fillId="2" borderId="37" xfId="0" applyFont="1" applyFill="1" applyBorder="1" applyAlignment="1">
      <alignment horizontal="left" vertical="center" wrapText="1"/>
    </xf>
    <xf numFmtId="8" fontId="6" fillId="2" borderId="38" xfId="0" applyNumberFormat="1" applyFont="1" applyFill="1" applyBorder="1" applyAlignment="1">
      <alignment horizontal="right" vertical="center" wrapText="1"/>
    </xf>
    <xf numFmtId="0" fontId="6" fillId="2" borderId="31" xfId="0" applyFont="1" applyFill="1" applyBorder="1" applyAlignment="1">
      <alignment vertical="center" wrapText="1"/>
    </xf>
    <xf numFmtId="8" fontId="25" fillId="2" borderId="39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vertical="center"/>
    </xf>
    <xf numFmtId="0" fontId="26" fillId="6" borderId="34" xfId="0" applyFont="1" applyFill="1" applyBorder="1" applyAlignment="1">
      <alignment horizontal="center" wrapText="1"/>
    </xf>
    <xf numFmtId="0" fontId="26" fillId="6" borderId="35" xfId="0" applyFont="1" applyFill="1" applyBorder="1" applyAlignment="1">
      <alignment horizontal="center" wrapText="1"/>
    </xf>
    <xf numFmtId="0" fontId="26" fillId="6" borderId="40" xfId="0" applyFont="1" applyFill="1" applyBorder="1" applyAlignment="1">
      <alignment horizont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1" fontId="7" fillId="0" borderId="30" xfId="0" applyNumberFormat="1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7" fillId="0" borderId="30" xfId="0" applyFont="1" applyBorder="1" applyAlignment="1">
      <alignment horizontal="left"/>
    </xf>
    <xf numFmtId="0" fontId="28" fillId="2" borderId="31" xfId="0" applyFont="1" applyFill="1" applyBorder="1" applyAlignment="1">
      <alignment horizontal="center" wrapText="1"/>
    </xf>
    <xf numFmtId="0" fontId="28" fillId="2" borderId="32" xfId="0" applyFont="1" applyFill="1" applyBorder="1" applyAlignment="1">
      <alignment horizontal="center" wrapText="1"/>
    </xf>
    <xf numFmtId="0" fontId="28" fillId="2" borderId="33" xfId="0" applyFont="1" applyFill="1" applyBorder="1" applyAlignment="1">
      <alignment horizontal="center" wrapText="1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>
      <alignment horizontal="center"/>
    </xf>
    <xf numFmtId="0" fontId="29" fillId="7" borderId="6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29" fillId="7" borderId="8" xfId="0" applyFont="1" applyFill="1" applyBorder="1" applyAlignment="1">
      <alignment horizontal="center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wrapText="1"/>
      <border diagonalUp="0" diagonalDown="0" outline="0">
        <left style="thin">
          <color rgb="FFCBD5E0"/>
        </left>
        <right style="thin">
          <color rgb="FFCBD5E0"/>
        </right>
        <top/>
        <bottom/>
      </border>
    </dxf>
    <dxf>
      <font>
        <strike val="0"/>
        <outline val="0"/>
        <shadow val="0"/>
        <vertAlign val="baseline"/>
        <sz val="10"/>
        <color theme="1"/>
        <name val="Calibri"/>
        <family val="2"/>
      </font>
      <fill>
        <patternFill patternType="none">
          <fgColor indexed="64"/>
          <bgColor auto="1"/>
        </patternFill>
      </fill>
      <alignment vertical="center" wrapText="1"/>
    </dxf>
    <dxf>
      <font>
        <strike val="0"/>
        <outline val="0"/>
        <shadow val="0"/>
        <vertAlign val="baseline"/>
        <sz val="9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left" vertical="center" wrapText="1"/>
      <border diagonalUp="0" diagonalDown="0" outline="0">
        <left style="thin">
          <color rgb="FFCBD5E0"/>
        </left>
        <right/>
        <top style="thin">
          <color rgb="FFCBD5E0"/>
        </top>
        <bottom style="thin">
          <color rgb="FFCBD5E0"/>
        </bottom>
      </border>
    </dxf>
    <dxf>
      <font>
        <strike val="0"/>
        <outline val="0"/>
        <shadow val="0"/>
        <u/>
        <vertAlign val="baseline"/>
        <sz val="9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left" vertical="center" wrapText="1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font>
        <b/>
        <strike val="0"/>
        <outline val="0"/>
        <shadow val="0"/>
        <vertAlign val="baseline"/>
        <sz val="10"/>
        <color theme="1"/>
        <name val="Calibri"/>
        <family val="2"/>
      </font>
      <numFmt numFmtId="164" formatCode="_([$AUD]\ * #,##0.00_);_([$AUD]\ * \(#,##0.00\);_([$AUD]\ * &quot;-&quot;??_);_(@_)"/>
      <fill>
        <patternFill patternType="none">
          <fgColor indexed="64"/>
          <bgColor auto="1"/>
        </patternFill>
      </fill>
      <alignment horizontal="center" vertical="center" wrapText="1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font>
        <b val="0"/>
        <strike val="0"/>
        <outline val="0"/>
        <shadow val="0"/>
        <vertAlign val="baseline"/>
        <sz val="10"/>
        <color theme="1"/>
        <name val="Calibri"/>
        <family val="2"/>
      </font>
      <numFmt numFmtId="164" formatCode="_([$AUD]\ * #,##0.00_);_([$AUD]\ * \(#,##0.00\);_([$AUD]\ * &quot;-&quot;??_);_(@_)"/>
      <fill>
        <patternFill patternType="none">
          <fgColor indexed="64"/>
          <bgColor auto="1"/>
        </patternFill>
      </fill>
      <alignment horizontal="center" vertical="center" wrapText="1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wrapText="1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wrapText="1"/>
      <border diagonalUp="0" diagonalDown="0" outline="0">
        <left style="thin">
          <color rgb="FFCBD5E0"/>
        </left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rgb="FFCBD5E0"/>
        </right>
        <top style="thin">
          <color rgb="FFCBD5E0"/>
        </top>
        <bottom style="thin">
          <color rgb="FFCBD5E0"/>
        </bottom>
      </border>
    </dxf>
    <dxf>
      <border>
        <top style="thin">
          <color rgb="FFCBD5E0"/>
        </top>
      </border>
    </dxf>
    <dxf>
      <border diagonalUp="0" diagonalDown="0">
        <left style="medium">
          <color rgb="FF2C5282"/>
        </left>
        <right style="medium">
          <color rgb="FF2C5282"/>
        </right>
        <top style="medium">
          <color rgb="FF2C5282"/>
        </top>
        <bottom style="medium">
          <color rgb="FF2C5282"/>
        </bottom>
      </border>
    </dxf>
    <dxf>
      <border>
        <bottom style="thin">
          <color rgb="FFCBD5E0"/>
        </bottom>
      </border>
    </dxf>
  </dxfs>
  <tableStyles count="0" defaultTableStyle="TableStyleMedium2" defaultPivotStyle="PivotStyleMedium9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469209</xdr:colOff>
      <xdr:row>26</xdr:row>
      <xdr:rowOff>71232</xdr:rowOff>
    </xdr:from>
    <xdr:to>
      <xdr:col>2</xdr:col>
      <xdr:colOff>1118355</xdr:colOff>
      <xdr:row>35</xdr:row>
      <xdr:rowOff>144945</xdr:rowOff>
    </xdr:to>
    <xdr:pic>
      <xdr:nvPicPr>
        <xdr:cNvPr id="2" name="WordPictureWatermark1">
          <a:extLst>
            <a:ext uri="{FF2B5EF4-FFF2-40B4-BE49-F238E27FC236}">
              <a16:creationId xmlns:a16="http://schemas.microsoft.com/office/drawing/2014/main" id="{27616548-4C89-4797-99A0-22D52B629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209" y="5471907"/>
          <a:ext cx="4230546" cy="1950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>
                  <a:alpha val="19000"/>
                </a:srgbClr>
              </a:solidFill>
            </a14:hiddenFill>
          </a:ext>
        </a:extLst>
      </xdr:spPr>
    </xdr:pic>
    <xdr:clientData/>
  </xdr:twoCellAnchor>
  <xdr:twoCellAnchor editAs="oneCell">
    <xdr:from>
      <xdr:col>0</xdr:col>
      <xdr:colOff>31750</xdr:colOff>
      <xdr:row>0</xdr:row>
      <xdr:rowOff>0</xdr:rowOff>
    </xdr:from>
    <xdr:to>
      <xdr:col>2</xdr:col>
      <xdr:colOff>25676</xdr:colOff>
      <xdr:row>1</xdr:row>
      <xdr:rowOff>123825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7F3B52B0-5C38-499D-8BF3-E6BB75E9F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750" y="0"/>
          <a:ext cx="3575326" cy="714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C5411-0957-496C-A4CC-0E5944818168}" name="Table2" displayName="Table2" ref="A1:G21" totalsRowShown="0" headerRowDxfId="0" dataDxfId="1" headerRowBorderDxfId="11" tableBorderDxfId="10" totalsRowBorderDxfId="9">
  <autoFilter ref="A1:G21" xr:uid="{303C5411-0957-496C-A4CC-0E5944818168}"/>
  <tableColumns count="7">
    <tableColumn id="1" xr3:uid="{E2C58CF3-844F-49BC-8CD9-6CB92522DEE3}" name="Visa Subclass" dataDxfId="8"/>
    <tableColumn id="2" xr3:uid="{8CF35207-9BA6-4754-B77E-E0F7F345A6E9}" name="Engagement Fee" dataDxfId="7"/>
    <tableColumn id="3" xr3:uid="{52FC039E-2B94-40D8-A99A-0AE17F4EB13F}" name="Professional Fee" dataDxfId="6"/>
    <tableColumn id="4" xr3:uid="{7C2B6DAD-185A-44ED-A25D-B2CCEE3BEFBF}" name="IMMI Lodgement Fee" dataDxfId="5"/>
    <tableColumn id="5" xr3:uid="{AFC92A80-991A-462D-A0E0-00B25594E772}" name="Total Fee (Est.)" dataDxfId="4">
      <calculatedColumnFormula>IF(OR(B2&lt;&gt;"",C2&lt;&gt;"",D2&lt;&gt;""),SUM(IFERROR(VALUE(SUBSTITUTE(SUBSTITUTE(B2,"AUD ",""),",","")),0),IFERROR(VALUE(SUBSTITUTE(SUBSTITUTE(C2,"AUD ",""),",","")),0),IFERROR(VALUE(SUBSTITUTE(SUBSTITUTE(D2,"AUD ",""),",","")),0)),"")</calculatedColumnFormula>
    </tableColumn>
    <tableColumn id="6" xr3:uid="{FF3BD491-F620-4539-B15E-4E5BC8B04D5F}" name="IMMI Website Link" dataDxfId="3"/>
    <tableColumn id="7" xr3:uid="{513163B1-CCEC-4B32-8737-C1F309357608}" name="Not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mmi.homeaffairs.gov.au/visas/getting-a-visa/visa-listing/skilled-work-regional-provisional-49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E1" workbookViewId="0">
      <pane ySplit="1" topLeftCell="A2" activePane="bottomLeft" state="frozen"/>
      <selection activeCell="B1" sqref="B1"/>
      <selection pane="bottomLeft" activeCell="F3" sqref="F3"/>
    </sheetView>
  </sheetViews>
  <sheetFormatPr defaultRowHeight="15" x14ac:dyDescent="0.25"/>
  <cols>
    <col min="1" max="1" width="61" style="1" customWidth="1"/>
    <col min="2" max="2" width="19" style="18" customWidth="1"/>
    <col min="3" max="3" width="21" style="18" customWidth="1"/>
    <col min="4" max="4" width="19" style="18" customWidth="1"/>
    <col min="5" max="5" width="21" style="18" customWidth="1"/>
    <col min="6" max="6" width="58.5703125" style="1" customWidth="1"/>
    <col min="7" max="7" width="36.7109375" style="1" customWidth="1"/>
    <col min="8" max="16384" width="9.140625" style="1"/>
  </cols>
  <sheetData>
    <row r="1" spans="1:7" ht="35.1" customHeight="1" x14ac:dyDescent="0.25">
      <c r="A1" s="113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5" t="s">
        <v>6</v>
      </c>
    </row>
    <row r="2" spans="1:7" ht="24" x14ac:dyDescent="0.25">
      <c r="A2" s="19" t="s">
        <v>7</v>
      </c>
      <c r="B2" s="2"/>
      <c r="C2" s="2" t="s">
        <v>8</v>
      </c>
      <c r="D2" s="3" t="s">
        <v>9</v>
      </c>
      <c r="E2" s="20">
        <f t="shared" ref="E2:E21" si="0">IF(OR(B2&lt;&gt;"",C2&lt;&gt;"",D2&lt;&gt;""),SUM(IFERROR(VALUE(SUBSTITUTE(SUBSTITUTE(B2,"AUD ",""),",","")),0),IFERROR(VALUE(SUBSTITUTE(SUBSTITUTE(C2,"AUD ",""),",","")),0),IFERROR(VALUE(SUBSTITUTE(SUBSTITUTE(D2,"AUD ",""),",","")),0)),"")</f>
        <v>9435</v>
      </c>
      <c r="F2" s="21" t="s">
        <v>10</v>
      </c>
      <c r="G2" s="22"/>
    </row>
    <row r="3" spans="1:7" ht="24" x14ac:dyDescent="0.25">
      <c r="A3" s="19" t="s">
        <v>11</v>
      </c>
      <c r="B3" s="2"/>
      <c r="C3" s="2" t="s">
        <v>8</v>
      </c>
      <c r="D3" s="3" t="s">
        <v>9</v>
      </c>
      <c r="E3" s="20">
        <f t="shared" si="0"/>
        <v>9435</v>
      </c>
      <c r="F3" s="21" t="s">
        <v>12</v>
      </c>
      <c r="G3" s="22"/>
    </row>
    <row r="4" spans="1:7" ht="30" x14ac:dyDescent="0.25">
      <c r="A4" s="19" t="s">
        <v>13</v>
      </c>
      <c r="B4" s="2"/>
      <c r="C4" s="2" t="s">
        <v>14</v>
      </c>
      <c r="D4" s="3" t="s">
        <v>9</v>
      </c>
      <c r="E4" s="20">
        <f t="shared" si="0"/>
        <v>9135</v>
      </c>
      <c r="F4" s="23" t="s">
        <v>15</v>
      </c>
      <c r="G4" s="22"/>
    </row>
    <row r="5" spans="1:7" ht="24" x14ac:dyDescent="0.25">
      <c r="A5" s="19" t="s">
        <v>16</v>
      </c>
      <c r="B5" s="2"/>
      <c r="C5" s="2" t="s">
        <v>17</v>
      </c>
      <c r="D5" s="3" t="s">
        <v>18</v>
      </c>
      <c r="E5" s="20">
        <f t="shared" si="0"/>
        <v>8340</v>
      </c>
      <c r="F5" s="21" t="s">
        <v>19</v>
      </c>
      <c r="G5" s="22"/>
    </row>
    <row r="6" spans="1:7" ht="24" x14ac:dyDescent="0.25">
      <c r="A6" s="19" t="s">
        <v>20</v>
      </c>
      <c r="B6" s="2"/>
      <c r="C6" s="2" t="s">
        <v>21</v>
      </c>
      <c r="D6" s="3" t="s">
        <v>18</v>
      </c>
      <c r="E6" s="20">
        <f t="shared" si="0"/>
        <v>7940</v>
      </c>
      <c r="F6" s="21" t="s">
        <v>22</v>
      </c>
      <c r="G6" s="22"/>
    </row>
    <row r="7" spans="1:7" ht="24" x14ac:dyDescent="0.25">
      <c r="A7" s="19" t="s">
        <v>23</v>
      </c>
      <c r="B7" s="2"/>
      <c r="C7" s="2" t="s">
        <v>17</v>
      </c>
      <c r="D7" s="27" t="s">
        <v>64</v>
      </c>
      <c r="E7" s="20">
        <f t="shared" si="0"/>
        <v>6215</v>
      </c>
      <c r="F7" s="21" t="s">
        <v>24</v>
      </c>
      <c r="G7" s="22"/>
    </row>
    <row r="8" spans="1:7" ht="24" x14ac:dyDescent="0.25">
      <c r="A8" s="19" t="s">
        <v>25</v>
      </c>
      <c r="B8" s="2"/>
      <c r="C8" s="2" t="s">
        <v>17</v>
      </c>
      <c r="D8" s="27" t="s">
        <v>64</v>
      </c>
      <c r="E8" s="20">
        <f t="shared" si="0"/>
        <v>6215</v>
      </c>
      <c r="F8" s="21" t="s">
        <v>24</v>
      </c>
      <c r="G8" s="22"/>
    </row>
    <row r="9" spans="1:7" ht="24" x14ac:dyDescent="0.25">
      <c r="A9" s="19" t="s">
        <v>26</v>
      </c>
      <c r="B9" s="2"/>
      <c r="C9" s="2" t="s">
        <v>17</v>
      </c>
      <c r="D9" s="27" t="s">
        <v>64</v>
      </c>
      <c r="E9" s="20">
        <f t="shared" si="0"/>
        <v>6215</v>
      </c>
      <c r="F9" s="21" t="s">
        <v>24</v>
      </c>
      <c r="G9" s="22"/>
    </row>
    <row r="10" spans="1:7" ht="24" x14ac:dyDescent="0.25">
      <c r="A10" s="19" t="s">
        <v>27</v>
      </c>
      <c r="B10" s="2"/>
      <c r="C10" s="2" t="s">
        <v>28</v>
      </c>
      <c r="D10" s="3" t="s">
        <v>29</v>
      </c>
      <c r="E10" s="20">
        <f t="shared" si="0"/>
        <v>3050</v>
      </c>
      <c r="F10" s="21" t="s">
        <v>30</v>
      </c>
      <c r="G10" s="22"/>
    </row>
    <row r="11" spans="1:7" ht="24" x14ac:dyDescent="0.25">
      <c r="A11" s="19" t="s">
        <v>31</v>
      </c>
      <c r="B11" s="2"/>
      <c r="C11" s="2" t="s">
        <v>32</v>
      </c>
      <c r="D11" s="3" t="s">
        <v>29</v>
      </c>
      <c r="E11" s="20">
        <f t="shared" si="0"/>
        <v>2850</v>
      </c>
      <c r="F11" s="21" t="s">
        <v>30</v>
      </c>
      <c r="G11" s="22"/>
    </row>
    <row r="12" spans="1:7" ht="24" x14ac:dyDescent="0.25">
      <c r="A12" s="19" t="s">
        <v>33</v>
      </c>
      <c r="B12" s="2" t="s">
        <v>28</v>
      </c>
      <c r="C12" s="2" t="s">
        <v>34</v>
      </c>
      <c r="D12" s="3" t="s">
        <v>46</v>
      </c>
      <c r="E12" s="20">
        <f t="shared" si="0"/>
        <v>4250</v>
      </c>
      <c r="F12" s="21" t="s">
        <v>35</v>
      </c>
      <c r="G12" s="22" t="s">
        <v>61</v>
      </c>
    </row>
    <row r="13" spans="1:7" ht="24" x14ac:dyDescent="0.25">
      <c r="A13" s="19" t="s">
        <v>36</v>
      </c>
      <c r="B13" s="2"/>
      <c r="C13" s="2" t="s">
        <v>32</v>
      </c>
      <c r="D13" s="3" t="s">
        <v>68</v>
      </c>
      <c r="E13" s="20">
        <f t="shared" si="0"/>
        <v>3050</v>
      </c>
      <c r="F13" s="21" t="s">
        <v>35</v>
      </c>
      <c r="G13" s="22" t="s">
        <v>61</v>
      </c>
    </row>
    <row r="14" spans="1:7" ht="24" x14ac:dyDescent="0.25">
      <c r="A14" s="19" t="s">
        <v>39</v>
      </c>
      <c r="B14" s="2"/>
      <c r="C14" s="2" t="s">
        <v>37</v>
      </c>
      <c r="D14" s="3" t="s">
        <v>63</v>
      </c>
      <c r="E14" s="20">
        <f t="shared" si="0"/>
        <v>1030</v>
      </c>
      <c r="F14" s="21" t="s">
        <v>38</v>
      </c>
      <c r="G14" s="22"/>
    </row>
    <row r="15" spans="1:7" ht="24" x14ac:dyDescent="0.25">
      <c r="A15" s="19" t="s">
        <v>40</v>
      </c>
      <c r="B15" s="2"/>
      <c r="C15" s="2" t="s">
        <v>28</v>
      </c>
      <c r="D15" s="3" t="s">
        <v>62</v>
      </c>
      <c r="E15" s="20">
        <f t="shared" si="0"/>
        <v>1000</v>
      </c>
      <c r="F15" s="21" t="s">
        <v>38</v>
      </c>
      <c r="G15" s="22"/>
    </row>
    <row r="16" spans="1:7" ht="24" x14ac:dyDescent="0.25">
      <c r="A16" s="19" t="s">
        <v>41</v>
      </c>
      <c r="B16" s="2"/>
      <c r="C16" s="2" t="s">
        <v>21</v>
      </c>
      <c r="D16" s="3" t="s">
        <v>67</v>
      </c>
      <c r="E16" s="20">
        <f t="shared" si="0"/>
        <v>5840</v>
      </c>
      <c r="F16" s="21" t="s">
        <v>42</v>
      </c>
      <c r="G16" s="22"/>
    </row>
    <row r="17" spans="1:7" ht="24" x14ac:dyDescent="0.25">
      <c r="A17" s="19" t="s">
        <v>43</v>
      </c>
      <c r="B17" s="2"/>
      <c r="C17" s="2" t="s">
        <v>21</v>
      </c>
      <c r="D17" s="3" t="s">
        <v>67</v>
      </c>
      <c r="E17" s="20">
        <f t="shared" si="0"/>
        <v>5840</v>
      </c>
      <c r="F17" s="21" t="s">
        <v>44</v>
      </c>
      <c r="G17" s="22"/>
    </row>
    <row r="18" spans="1:7" ht="24" x14ac:dyDescent="0.25">
      <c r="A18" s="19" t="s">
        <v>45</v>
      </c>
      <c r="B18" s="2"/>
      <c r="C18" s="2" t="s">
        <v>46</v>
      </c>
      <c r="D18" s="3" t="s">
        <v>65</v>
      </c>
      <c r="E18" s="20">
        <f t="shared" si="0"/>
        <v>14210</v>
      </c>
      <c r="F18" s="21" t="s">
        <v>47</v>
      </c>
      <c r="G18" s="22"/>
    </row>
    <row r="19" spans="1:7" ht="24" x14ac:dyDescent="0.25">
      <c r="A19" s="19" t="s">
        <v>48</v>
      </c>
      <c r="B19" s="2"/>
      <c r="C19" s="2" t="s">
        <v>46</v>
      </c>
      <c r="D19" s="3" t="s">
        <v>66</v>
      </c>
      <c r="E19" s="20">
        <f t="shared" si="0"/>
        <v>4975</v>
      </c>
      <c r="F19" s="21" t="s">
        <v>49</v>
      </c>
      <c r="G19" s="22"/>
    </row>
    <row r="20" spans="1:7" x14ac:dyDescent="0.25">
      <c r="A20" s="19" t="s">
        <v>87</v>
      </c>
      <c r="B20" s="2"/>
      <c r="C20" s="2" t="s">
        <v>88</v>
      </c>
      <c r="D20" s="3" t="s">
        <v>89</v>
      </c>
      <c r="E20" s="20">
        <f t="shared" si="0"/>
        <v>675</v>
      </c>
      <c r="F20" s="21" t="s">
        <v>90</v>
      </c>
      <c r="G20" s="22"/>
    </row>
    <row r="21" spans="1:7" ht="24.75" thickBot="1" x14ac:dyDescent="0.3">
      <c r="A21" s="24" t="s">
        <v>50</v>
      </c>
      <c r="B21" s="4"/>
      <c r="C21" s="4" t="s">
        <v>51</v>
      </c>
      <c r="D21" s="5" t="s">
        <v>52</v>
      </c>
      <c r="E21" s="20">
        <f t="shared" si="0"/>
        <v>1630</v>
      </c>
      <c r="F21" s="25" t="s">
        <v>53</v>
      </c>
      <c r="G21" s="26"/>
    </row>
    <row r="22" spans="1:7" ht="30" customHeight="1" x14ac:dyDescent="0.25">
      <c r="A22" s="6" t="s">
        <v>54</v>
      </c>
      <c r="B22" s="7"/>
      <c r="C22" s="7"/>
      <c r="D22" s="7"/>
      <c r="E22" s="7"/>
      <c r="F22" s="7"/>
      <c r="G22" s="8"/>
    </row>
    <row r="23" spans="1:7" ht="21.95" customHeight="1" x14ac:dyDescent="0.25">
      <c r="A23" s="9" t="s">
        <v>55</v>
      </c>
      <c r="B23" s="10"/>
      <c r="C23" s="10"/>
      <c r="D23" s="10"/>
      <c r="E23" s="10"/>
      <c r="F23" s="10"/>
      <c r="G23" s="11"/>
    </row>
    <row r="24" spans="1:7" ht="21.95" customHeight="1" x14ac:dyDescent="0.25">
      <c r="A24" s="12" t="s">
        <v>56</v>
      </c>
      <c r="B24" s="13"/>
      <c r="C24" s="13"/>
      <c r="D24" s="13"/>
      <c r="E24" s="13"/>
      <c r="F24" s="13"/>
      <c r="G24" s="14"/>
    </row>
    <row r="25" spans="1:7" ht="21.95" customHeight="1" x14ac:dyDescent="0.25">
      <c r="A25" s="12" t="s">
        <v>57</v>
      </c>
      <c r="B25" s="13"/>
      <c r="C25" s="13"/>
      <c r="D25" s="13"/>
      <c r="E25" s="13"/>
      <c r="F25" s="13"/>
      <c r="G25" s="14"/>
    </row>
    <row r="26" spans="1:7" ht="21.95" customHeight="1" x14ac:dyDescent="0.25">
      <c r="A26" s="12" t="s">
        <v>58</v>
      </c>
      <c r="B26" s="13"/>
      <c r="C26" s="13"/>
      <c r="D26" s="13"/>
      <c r="E26" s="13"/>
      <c r="F26" s="13"/>
      <c r="G26" s="14"/>
    </row>
    <row r="27" spans="1:7" ht="21.95" customHeight="1" x14ac:dyDescent="0.25">
      <c r="A27" s="12" t="s">
        <v>59</v>
      </c>
      <c r="B27" s="13"/>
      <c r="C27" s="13"/>
      <c r="D27" s="13"/>
      <c r="E27" s="13"/>
      <c r="F27" s="13"/>
      <c r="G27" s="14"/>
    </row>
    <row r="28" spans="1:7" ht="21.95" customHeight="1" x14ac:dyDescent="0.25">
      <c r="A28" s="15" t="s">
        <v>60</v>
      </c>
      <c r="B28" s="16"/>
      <c r="C28" s="16"/>
      <c r="D28" s="16"/>
      <c r="E28" s="16"/>
      <c r="F28" s="16"/>
      <c r="G28" s="17"/>
    </row>
  </sheetData>
  <mergeCells count="7">
    <mergeCell ref="A28:G28"/>
    <mergeCell ref="A22:G22"/>
    <mergeCell ref="A23:G23"/>
    <mergeCell ref="A24:G24"/>
    <mergeCell ref="A25:G25"/>
    <mergeCell ref="A26:G26"/>
    <mergeCell ref="A27:G27"/>
  </mergeCells>
  <phoneticPr fontId="15" type="noConversion"/>
  <conditionalFormatting sqref="J1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{804D51A9-23E4-4F2E-AAE2-A601290BDBE7}</x14:id>
        </ext>
      </extLst>
    </cfRule>
  </conditionalFormatting>
  <hyperlinks>
    <hyperlink ref="F4" r:id="rId1" xr:uid="{22B865E1-3802-4AC2-BAC1-2A34E842E49F}"/>
  </hyperlinks>
  <printOptions horizontalCentered="1"/>
  <pageMargins left="6.9444444444444441E-3" right="6.9444444444444441E-3" top="1.0416666666666666E-2" bottom="1.0416666666666666E-2" header="0.3" footer="0.3"/>
  <pageSetup scale="85" orientation="landscape"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4D51A9-23E4-4F2E-AAE2-A601290BDB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190C-E801-467D-880F-931808458740}">
  <dimension ref="A1:F15"/>
  <sheetViews>
    <sheetView workbookViewId="0">
      <selection activeCell="E18" sqref="E18"/>
    </sheetView>
  </sheetViews>
  <sheetFormatPr defaultRowHeight="15" x14ac:dyDescent="0.25"/>
  <cols>
    <col min="1" max="1" width="29.5703125" customWidth="1"/>
    <col min="2" max="2" width="11.5703125" bestFit="1" customWidth="1"/>
    <col min="3" max="3" width="20.28515625" bestFit="1" customWidth="1"/>
    <col min="4" max="4" width="18.42578125" style="28" bestFit="1" customWidth="1"/>
    <col min="5" max="5" width="18.28515625" customWidth="1"/>
    <col min="6" max="6" width="41.28515625" customWidth="1"/>
  </cols>
  <sheetData>
    <row r="1" spans="1:6" x14ac:dyDescent="0.25">
      <c r="A1" s="29" t="s">
        <v>69</v>
      </c>
      <c r="B1" s="29" t="s">
        <v>70</v>
      </c>
      <c r="C1" s="29" t="s">
        <v>76</v>
      </c>
      <c r="D1" s="30" t="s">
        <v>71</v>
      </c>
      <c r="E1" s="29" t="s">
        <v>73</v>
      </c>
      <c r="F1" s="29" t="s">
        <v>6</v>
      </c>
    </row>
    <row r="2" spans="1:6" x14ac:dyDescent="0.25">
      <c r="A2" s="31" t="s">
        <v>72</v>
      </c>
      <c r="B2" s="32">
        <v>1000</v>
      </c>
      <c r="C2" s="33" t="s">
        <v>78</v>
      </c>
      <c r="D2" s="47">
        <v>130</v>
      </c>
      <c r="E2" s="52">
        <f>D2+B2</f>
        <v>1130</v>
      </c>
      <c r="F2" s="34"/>
    </row>
    <row r="3" spans="1:6" x14ac:dyDescent="0.25">
      <c r="A3" s="35"/>
      <c r="B3" s="36"/>
      <c r="C3" s="37" t="s">
        <v>79</v>
      </c>
      <c r="D3" s="48">
        <v>490</v>
      </c>
      <c r="E3" s="53">
        <f t="shared" ref="E3:E5" si="0">D3+B3</f>
        <v>490</v>
      </c>
      <c r="F3" s="38"/>
    </row>
    <row r="4" spans="1:6" x14ac:dyDescent="0.25">
      <c r="A4" s="35"/>
      <c r="B4" s="36"/>
      <c r="C4" s="37" t="s">
        <v>80</v>
      </c>
      <c r="D4" s="48">
        <v>2845</v>
      </c>
      <c r="E4" s="53">
        <f t="shared" si="0"/>
        <v>2845</v>
      </c>
      <c r="F4" s="38"/>
    </row>
    <row r="5" spans="1:6" x14ac:dyDescent="0.25">
      <c r="A5" s="35"/>
      <c r="B5" s="36"/>
      <c r="C5" s="37" t="s">
        <v>81</v>
      </c>
      <c r="D5" s="48">
        <v>75</v>
      </c>
      <c r="E5" s="53">
        <f t="shared" si="0"/>
        <v>75</v>
      </c>
      <c r="F5" s="38"/>
    </row>
    <row r="6" spans="1:6" x14ac:dyDescent="0.25">
      <c r="A6" s="39"/>
      <c r="B6" s="40"/>
      <c r="C6" s="41"/>
      <c r="D6" s="49"/>
      <c r="E6" s="54"/>
      <c r="F6" s="42"/>
    </row>
    <row r="7" spans="1:6" x14ac:dyDescent="0.25">
      <c r="A7" s="31" t="s">
        <v>74</v>
      </c>
      <c r="B7" s="32">
        <v>250</v>
      </c>
      <c r="C7" s="33" t="s">
        <v>75</v>
      </c>
      <c r="D7" s="47">
        <v>440.6</v>
      </c>
      <c r="E7" s="55">
        <f>D7+B7</f>
        <v>690.6</v>
      </c>
      <c r="F7" s="43" t="s">
        <v>82</v>
      </c>
    </row>
    <row r="8" spans="1:6" x14ac:dyDescent="0.25">
      <c r="A8" s="35"/>
      <c r="B8" s="36">
        <v>750</v>
      </c>
      <c r="C8" s="37" t="s">
        <v>77</v>
      </c>
      <c r="D8" s="50">
        <v>1177</v>
      </c>
      <c r="E8" s="56">
        <f>D8+B8</f>
        <v>1927</v>
      </c>
      <c r="F8" s="38" t="s">
        <v>86</v>
      </c>
    </row>
    <row r="9" spans="1:6" x14ac:dyDescent="0.25">
      <c r="A9" s="39"/>
      <c r="B9" s="40"/>
      <c r="C9" s="41"/>
      <c r="D9" s="49"/>
      <c r="E9" s="54"/>
      <c r="F9" s="42"/>
    </row>
    <row r="10" spans="1:6" x14ac:dyDescent="0.25">
      <c r="A10" s="31" t="s">
        <v>83</v>
      </c>
      <c r="B10" s="32">
        <v>250</v>
      </c>
      <c r="C10" s="33" t="s">
        <v>75</v>
      </c>
      <c r="D10" s="47">
        <v>330</v>
      </c>
      <c r="E10" s="55">
        <f>D10+B10</f>
        <v>580</v>
      </c>
      <c r="F10" s="43" t="s">
        <v>84</v>
      </c>
    </row>
    <row r="11" spans="1:6" x14ac:dyDescent="0.25">
      <c r="A11" s="35"/>
      <c r="B11" s="36">
        <v>1100</v>
      </c>
      <c r="C11" s="37" t="s">
        <v>77</v>
      </c>
      <c r="D11" s="50">
        <v>1100</v>
      </c>
      <c r="E11" s="56">
        <f>D11+B11</f>
        <v>2200</v>
      </c>
      <c r="F11" s="38" t="s">
        <v>86</v>
      </c>
    </row>
    <row r="12" spans="1:6" x14ac:dyDescent="0.25">
      <c r="A12" s="39"/>
      <c r="B12" s="41"/>
      <c r="C12" s="41"/>
      <c r="D12" s="49"/>
      <c r="E12" s="57"/>
      <c r="F12" s="42"/>
    </row>
    <row r="13" spans="1:6" x14ac:dyDescent="0.25">
      <c r="A13" s="31" t="s">
        <v>85</v>
      </c>
      <c r="B13" s="32">
        <v>750</v>
      </c>
      <c r="C13" s="33" t="s">
        <v>77</v>
      </c>
      <c r="D13" s="47">
        <v>1154</v>
      </c>
      <c r="E13" s="58">
        <f>D13+B13</f>
        <v>1904</v>
      </c>
      <c r="F13" s="43" t="s">
        <v>86</v>
      </c>
    </row>
    <row r="14" spans="1:6" x14ac:dyDescent="0.25">
      <c r="A14" s="39"/>
      <c r="B14" s="41"/>
      <c r="C14" s="41"/>
      <c r="D14" s="49"/>
      <c r="E14" s="57"/>
      <c r="F14" s="42"/>
    </row>
    <row r="15" spans="1:6" x14ac:dyDescent="0.25">
      <c r="A15" s="60" t="s">
        <v>91</v>
      </c>
      <c r="B15" s="44">
        <v>500</v>
      </c>
      <c r="C15" s="45"/>
      <c r="D15" s="51">
        <v>0</v>
      </c>
      <c r="E15" s="59">
        <f>D15+B15</f>
        <v>500</v>
      </c>
      <c r="F15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5665-82F4-48F2-B0B3-D12D0C117407}">
  <dimension ref="A1:D52"/>
  <sheetViews>
    <sheetView topLeftCell="A7" workbookViewId="0">
      <selection activeCell="A9" sqref="A9"/>
    </sheetView>
  </sheetViews>
  <sheetFormatPr defaultColWidth="9" defaultRowHeight="15" x14ac:dyDescent="0.25"/>
  <cols>
    <col min="1" max="1" width="28.42578125" style="64" customWidth="1"/>
    <col min="2" max="2" width="25.28515625" style="64" customWidth="1"/>
    <col min="3" max="3" width="33.140625" style="64" customWidth="1"/>
    <col min="4" max="16384" width="9" style="64"/>
  </cols>
  <sheetData>
    <row r="1" spans="1:4" ht="46.5" x14ac:dyDescent="0.7">
      <c r="A1" s="61"/>
      <c r="B1" s="62" t="s">
        <v>92</v>
      </c>
      <c r="C1" s="62"/>
      <c r="D1" s="63"/>
    </row>
    <row r="2" spans="1:4" ht="15" customHeight="1" x14ac:dyDescent="0.25">
      <c r="A2" s="65"/>
    </row>
    <row r="3" spans="1:4" ht="15" customHeight="1" x14ac:dyDescent="0.25">
      <c r="A3" s="66" t="s">
        <v>93</v>
      </c>
      <c r="B3" s="67"/>
      <c r="C3" s="68">
        <f ca="1">TODAY()</f>
        <v>46220</v>
      </c>
    </row>
    <row r="4" spans="1:4" x14ac:dyDescent="0.25">
      <c r="A4" s="66" t="s">
        <v>94</v>
      </c>
      <c r="B4" s="69"/>
      <c r="C4" s="70"/>
    </row>
    <row r="5" spans="1:4" x14ac:dyDescent="0.25">
      <c r="A5" s="66"/>
      <c r="B5" s="67"/>
      <c r="C5" s="67"/>
    </row>
    <row r="6" spans="1:4" x14ac:dyDescent="0.25">
      <c r="A6" s="71" t="s">
        <v>130</v>
      </c>
      <c r="B6" s="67"/>
      <c r="C6" s="67"/>
    </row>
    <row r="7" spans="1:4" x14ac:dyDescent="0.25">
      <c r="B7" s="67"/>
      <c r="C7" s="67"/>
    </row>
    <row r="8" spans="1:4" x14ac:dyDescent="0.25">
      <c r="B8" s="72"/>
      <c r="C8" s="73"/>
    </row>
    <row r="9" spans="1:4" ht="15" customHeight="1" x14ac:dyDescent="0.25">
      <c r="A9" s="71"/>
      <c r="B9" s="72"/>
      <c r="C9" s="73"/>
    </row>
    <row r="10" spans="1:4" x14ac:dyDescent="0.25">
      <c r="A10" s="74" t="s">
        <v>95</v>
      </c>
      <c r="B10" s="74" t="s">
        <v>96</v>
      </c>
      <c r="C10" s="74" t="s">
        <v>97</v>
      </c>
    </row>
    <row r="11" spans="1:4" x14ac:dyDescent="0.25">
      <c r="A11" s="75" t="s">
        <v>98</v>
      </c>
      <c r="B11" s="76"/>
      <c r="C11" s="77"/>
    </row>
    <row r="12" spans="1:4" x14ac:dyDescent="0.25">
      <c r="A12" s="78"/>
      <c r="B12" s="76" t="s">
        <v>81</v>
      </c>
      <c r="C12" s="79">
        <v>75</v>
      </c>
    </row>
    <row r="13" spans="1:4" x14ac:dyDescent="0.25">
      <c r="A13" s="78"/>
      <c r="B13" s="76" t="s">
        <v>99</v>
      </c>
      <c r="C13" s="80">
        <v>0</v>
      </c>
    </row>
    <row r="14" spans="1:4" x14ac:dyDescent="0.25">
      <c r="A14" s="78"/>
      <c r="B14" s="76" t="s">
        <v>100</v>
      </c>
      <c r="C14" s="80">
        <v>0</v>
      </c>
    </row>
    <row r="15" spans="1:4" ht="15.75" thickBot="1" x14ac:dyDescent="0.3">
      <c r="A15" s="81"/>
      <c r="B15" s="82" t="s">
        <v>101</v>
      </c>
      <c r="C15" s="83">
        <v>0</v>
      </c>
    </row>
    <row r="16" spans="1:4" x14ac:dyDescent="0.25">
      <c r="A16" s="84" t="s">
        <v>102</v>
      </c>
      <c r="B16" s="85"/>
      <c r="C16" s="86">
        <f>SUM(C12:C15)</f>
        <v>75</v>
      </c>
    </row>
    <row r="17" spans="1:3" x14ac:dyDescent="0.25">
      <c r="A17" s="78"/>
      <c r="B17" s="76"/>
      <c r="C17" s="77"/>
    </row>
    <row r="18" spans="1:3" x14ac:dyDescent="0.25">
      <c r="A18" s="75" t="s">
        <v>103</v>
      </c>
      <c r="B18" s="76"/>
      <c r="C18" s="77"/>
    </row>
    <row r="19" spans="1:3" x14ac:dyDescent="0.25">
      <c r="A19" s="78"/>
      <c r="B19" s="76" t="s">
        <v>104</v>
      </c>
      <c r="C19" s="80">
        <v>0</v>
      </c>
    </row>
    <row r="20" spans="1:3" x14ac:dyDescent="0.25">
      <c r="A20" s="78"/>
      <c r="B20" s="76" t="s">
        <v>2</v>
      </c>
      <c r="C20" s="80">
        <v>0</v>
      </c>
    </row>
    <row r="21" spans="1:3" x14ac:dyDescent="0.25">
      <c r="A21" s="78"/>
      <c r="B21" s="87" t="s">
        <v>105</v>
      </c>
      <c r="C21" s="80">
        <v>0</v>
      </c>
    </row>
    <row r="22" spans="1:3" x14ac:dyDescent="0.25">
      <c r="A22" s="78"/>
      <c r="B22" s="87" t="s">
        <v>74</v>
      </c>
      <c r="C22" s="80">
        <v>0</v>
      </c>
    </row>
    <row r="23" spans="1:3" ht="15.75" thickBot="1" x14ac:dyDescent="0.3">
      <c r="A23" s="81"/>
      <c r="B23" s="82" t="s">
        <v>106</v>
      </c>
      <c r="C23" s="88">
        <v>0</v>
      </c>
    </row>
    <row r="24" spans="1:3" ht="15.75" thickBot="1" x14ac:dyDescent="0.3">
      <c r="A24" s="89" t="s">
        <v>107</v>
      </c>
      <c r="B24" s="90"/>
      <c r="C24" s="91">
        <f>SUM(C19:C23)</f>
        <v>0</v>
      </c>
    </row>
    <row r="25" spans="1:3" s="94" customFormat="1" ht="16.5" thickTop="1" thickBot="1" x14ac:dyDescent="0.3">
      <c r="A25" s="92" t="s">
        <v>108</v>
      </c>
      <c r="B25" s="82"/>
      <c r="C25" s="93">
        <f>C16+C24</f>
        <v>75</v>
      </c>
    </row>
    <row r="26" spans="1:3" x14ac:dyDescent="0.25">
      <c r="A26" s="95" t="s">
        <v>109</v>
      </c>
      <c r="B26" s="96"/>
      <c r="C26" s="97"/>
    </row>
    <row r="27" spans="1:3" x14ac:dyDescent="0.25">
      <c r="A27" s="98" t="s">
        <v>110</v>
      </c>
      <c r="B27" s="99" t="s">
        <v>111</v>
      </c>
      <c r="C27" s="100"/>
    </row>
    <row r="28" spans="1:3" x14ac:dyDescent="0.25">
      <c r="A28" s="101" t="s">
        <v>112</v>
      </c>
      <c r="B28" s="102" t="s">
        <v>113</v>
      </c>
      <c r="C28" s="103"/>
    </row>
    <row r="29" spans="1:3" x14ac:dyDescent="0.25">
      <c r="A29" s="101" t="s">
        <v>114</v>
      </c>
      <c r="B29" s="102" t="s">
        <v>115</v>
      </c>
      <c r="C29" s="103"/>
    </row>
    <row r="30" spans="1:3" x14ac:dyDescent="0.25">
      <c r="A30" s="101" t="s">
        <v>116</v>
      </c>
      <c r="B30" s="104" t="s">
        <v>117</v>
      </c>
      <c r="C30" s="105"/>
    </row>
    <row r="31" spans="1:3" x14ac:dyDescent="0.25">
      <c r="A31" s="101" t="s">
        <v>118</v>
      </c>
      <c r="B31" s="102">
        <v>401213402</v>
      </c>
      <c r="C31" s="103"/>
    </row>
    <row r="32" spans="1:3" x14ac:dyDescent="0.25">
      <c r="A32" s="101" t="s">
        <v>119</v>
      </c>
      <c r="B32" s="102" t="s">
        <v>120</v>
      </c>
      <c r="C32" s="103"/>
    </row>
    <row r="33" spans="1:3" x14ac:dyDescent="0.25">
      <c r="A33" s="101" t="s">
        <v>121</v>
      </c>
      <c r="B33" s="102" t="s">
        <v>122</v>
      </c>
      <c r="C33" s="103"/>
    </row>
    <row r="34" spans="1:3" x14ac:dyDescent="0.25">
      <c r="A34" s="101" t="s">
        <v>123</v>
      </c>
      <c r="B34" s="102" t="s">
        <v>124</v>
      </c>
      <c r="C34" s="103"/>
    </row>
    <row r="35" spans="1:3" x14ac:dyDescent="0.25">
      <c r="A35" s="101" t="s">
        <v>125</v>
      </c>
      <c r="B35" s="106" t="s">
        <v>126</v>
      </c>
      <c r="C35" s="107"/>
    </row>
    <row r="36" spans="1:3" ht="15.75" thickBot="1" x14ac:dyDescent="0.3">
      <c r="A36" s="108" t="s">
        <v>127</v>
      </c>
      <c r="B36" s="109"/>
      <c r="C36" s="110"/>
    </row>
    <row r="37" spans="1:3" ht="20.100000000000001" customHeight="1" x14ac:dyDescent="0.25"/>
    <row r="38" spans="1:3" x14ac:dyDescent="0.25">
      <c r="A38" s="111" t="s">
        <v>128</v>
      </c>
      <c r="B38" s="111"/>
      <c r="C38" s="111"/>
    </row>
    <row r="39" spans="1:3" x14ac:dyDescent="0.25">
      <c r="A39" s="112" t="s">
        <v>129</v>
      </c>
      <c r="B39" s="112"/>
      <c r="C39" s="112"/>
    </row>
    <row r="52" spans="1:1" x14ac:dyDescent="0.25">
      <c r="A52" s="63"/>
    </row>
  </sheetData>
  <mergeCells count="15">
    <mergeCell ref="A36:C36"/>
    <mergeCell ref="A38:C38"/>
    <mergeCell ref="A39:C39"/>
    <mergeCell ref="B29:C29"/>
    <mergeCell ref="B30:C30"/>
    <mergeCell ref="B31:C31"/>
    <mergeCell ref="B32:C32"/>
    <mergeCell ref="B33:C33"/>
    <mergeCell ref="B34:C34"/>
    <mergeCell ref="B1:C1"/>
    <mergeCell ref="A16:B16"/>
    <mergeCell ref="A24:B24"/>
    <mergeCell ref="A26:C26"/>
    <mergeCell ref="B27:C27"/>
    <mergeCell ref="B28:C28"/>
  </mergeCells>
  <dataValidations count="1">
    <dataValidation type="list" allowBlank="1" showInputMessage="1" showErrorMessage="1" sqref="B1" xr:uid="{348D7C6A-E570-4E28-A6D9-29B9AD5202DA}">
      <formula1>"INVOICE,RECEIPT"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VISA AND PF FEE</vt:lpstr>
      <vt:lpstr>SKIILS ASSESSMENT FEEother fee</vt:lpstr>
      <vt:lpstr>INVOICE TEMPLATE</vt:lpstr>
      <vt:lpstr>'VISA AND PF FEE'!Print_Area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Mershe Ventura</dc:creator>
  <cp:keywords/>
  <dc:description/>
  <cp:lastModifiedBy>Mershe Ventura</cp:lastModifiedBy>
  <cp:revision/>
  <cp:lastPrinted>2026-07-17T06:55:14Z</cp:lastPrinted>
  <dcterms:created xsi:type="dcterms:W3CDTF">2026-04-14T05:35:56Z</dcterms:created>
  <dcterms:modified xsi:type="dcterms:W3CDTF">2026-07-17T07:31:53Z</dcterms:modified>
  <cp:category/>
  <cp:contentStatus/>
</cp:coreProperties>
</file>